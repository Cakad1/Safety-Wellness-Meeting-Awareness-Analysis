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caleb.kadiri\Downloads\"/>
    </mc:Choice>
  </mc:AlternateContent>
  <xr:revisionPtr revIDLastSave="0" documentId="13_ncr:1_{DBFA3D60-351C-43C8-B250-79D0DB59A539}" xr6:coauthVersionLast="47" xr6:coauthVersionMax="47" xr10:uidLastSave="{00000000-0000-0000-0000-000000000000}"/>
  <bookViews>
    <workbookView xWindow="-110" yWindow="-110" windowWidth="19420" windowHeight="11500" activeTab="2" xr2:uid="{00000000-000D-0000-FFFF-FFFF00000000}"/>
  </bookViews>
  <sheets>
    <sheet name="RawData" sheetId="1" r:id="rId1"/>
    <sheet name="Pivot table" sheetId="13" r:id="rId2"/>
    <sheet name="Dashboard" sheetId="14" r:id="rId3"/>
  </sheets>
  <definedNames>
    <definedName name="Slicer_Department">#N/A</definedName>
    <definedName name="Slicer_Superviors_Status">#N/A</definedName>
    <definedName name="Slicer_Years_of_Servi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 i="14" l="1"/>
  <c r="V36" i="14"/>
  <c r="U37" i="14"/>
  <c r="V37" i="14"/>
  <c r="V35" i="14"/>
  <c r="U35" i="14"/>
  <c r="U29" i="14"/>
  <c r="V29" i="14"/>
  <c r="U30" i="14"/>
  <c r="V30" i="14"/>
  <c r="V28" i="14"/>
  <c r="U28" i="14"/>
  <c r="V20" i="14"/>
  <c r="V21" i="14"/>
  <c r="V22" i="14"/>
  <c r="V23" i="14"/>
  <c r="U21" i="14"/>
  <c r="U22" i="14"/>
  <c r="U23" i="14"/>
  <c r="U20" i="1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K2" i="1" a="1"/>
  <c r="K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N11" i="13"/>
  <c r="C11" i="13"/>
  <c r="K11" i="13"/>
  <c r="G11" i="13"/>
  <c r="A11"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<sst xmlns="http://schemas.openxmlformats.org/spreadsheetml/2006/main" count="1290" uniqueCount="228">
  <si>
    <t>Staff Name</t>
  </si>
  <si>
    <t>Department</t>
  </si>
  <si>
    <t>Division</t>
  </si>
  <si>
    <t>Years of Service</t>
  </si>
  <si>
    <t>Supervisor</t>
  </si>
  <si>
    <t>Aware: Safety &amp; Wellness Office</t>
  </si>
  <si>
    <t>Aware: Monthly Meetings</t>
  </si>
  <si>
    <t>Attended in Past 3 Years</t>
  </si>
  <si>
    <t>Reason for Not Attending (open)</t>
  </si>
  <si>
    <t>Barrier (What Prevented You)</t>
  </si>
  <si>
    <t>Interest in Future Meetings (Yes/No)</t>
  </si>
  <si>
    <t>Staff_001</t>
  </si>
  <si>
    <t>Staff_002</t>
  </si>
  <si>
    <t>Staff_003</t>
  </si>
  <si>
    <t>Staff_004</t>
  </si>
  <si>
    <t>Staff_005</t>
  </si>
  <si>
    <t>Staff_006</t>
  </si>
  <si>
    <t>Staff_007</t>
  </si>
  <si>
    <t>Staff_008</t>
  </si>
  <si>
    <t>Staff_009</t>
  </si>
  <si>
    <t>Staff_010</t>
  </si>
  <si>
    <t>Staff_011</t>
  </si>
  <si>
    <t>Staff_012</t>
  </si>
  <si>
    <t>Staff_013</t>
  </si>
  <si>
    <t>Staff_014</t>
  </si>
  <si>
    <t>Staff_015</t>
  </si>
  <si>
    <t>Staff_016</t>
  </si>
  <si>
    <t>Staff_017</t>
  </si>
  <si>
    <t>Staff_018</t>
  </si>
  <si>
    <t>Staff_019</t>
  </si>
  <si>
    <t>Staff_020</t>
  </si>
  <si>
    <t>Staff_021</t>
  </si>
  <si>
    <t>Staff_022</t>
  </si>
  <si>
    <t>Staff_023</t>
  </si>
  <si>
    <t>Staff_024</t>
  </si>
  <si>
    <t>Staff_025</t>
  </si>
  <si>
    <t>Staff_026</t>
  </si>
  <si>
    <t>Staff_027</t>
  </si>
  <si>
    <t>Staff_028</t>
  </si>
  <si>
    <t>Staff_029</t>
  </si>
  <si>
    <t>Staff_030</t>
  </si>
  <si>
    <t>Staff_031</t>
  </si>
  <si>
    <t>Staff_032</t>
  </si>
  <si>
    <t>Staff_033</t>
  </si>
  <si>
    <t>Staff_034</t>
  </si>
  <si>
    <t>Staff_035</t>
  </si>
  <si>
    <t>Staff_036</t>
  </si>
  <si>
    <t>Staff_037</t>
  </si>
  <si>
    <t>Staff_038</t>
  </si>
  <si>
    <t>Staff_039</t>
  </si>
  <si>
    <t>Staff_040</t>
  </si>
  <si>
    <t>Staff_041</t>
  </si>
  <si>
    <t>Staff_042</t>
  </si>
  <si>
    <t>Staff_043</t>
  </si>
  <si>
    <t>Staff_044</t>
  </si>
  <si>
    <t>Staff_045</t>
  </si>
  <si>
    <t>Staff_046</t>
  </si>
  <si>
    <t>Staff_047</t>
  </si>
  <si>
    <t>Staff_048</t>
  </si>
  <si>
    <t>Staff_049</t>
  </si>
  <si>
    <t>Staff_050</t>
  </si>
  <si>
    <t>Staff_051</t>
  </si>
  <si>
    <t>Staff_052</t>
  </si>
  <si>
    <t>Staff_053</t>
  </si>
  <si>
    <t>Staff_054</t>
  </si>
  <si>
    <t>Staff_055</t>
  </si>
  <si>
    <t>Staff_056</t>
  </si>
  <si>
    <t>Staff_057</t>
  </si>
  <si>
    <t>Staff_058</t>
  </si>
  <si>
    <t>Staff_059</t>
  </si>
  <si>
    <t>Staff_060</t>
  </si>
  <si>
    <t>Staff_061</t>
  </si>
  <si>
    <t>Staff_062</t>
  </si>
  <si>
    <t>Staff_063</t>
  </si>
  <si>
    <t>Staff_064</t>
  </si>
  <si>
    <t>Staff_065</t>
  </si>
  <si>
    <t>Staff_066</t>
  </si>
  <si>
    <t>Staff_067</t>
  </si>
  <si>
    <t>Staff_068</t>
  </si>
  <si>
    <t>Staff_069</t>
  </si>
  <si>
    <t>Staff_070</t>
  </si>
  <si>
    <t>Staff_071</t>
  </si>
  <si>
    <t>Staff_072</t>
  </si>
  <si>
    <t>Staff_073</t>
  </si>
  <si>
    <t>Staff_074</t>
  </si>
  <si>
    <t>Staff_075</t>
  </si>
  <si>
    <t>Staff_076</t>
  </si>
  <si>
    <t>Staff_077</t>
  </si>
  <si>
    <t>Staff_078</t>
  </si>
  <si>
    <t>Staff_079</t>
  </si>
  <si>
    <t>Staff_080</t>
  </si>
  <si>
    <t>Staff_081</t>
  </si>
  <si>
    <t>Staff_082</t>
  </si>
  <si>
    <t>Staff_083</t>
  </si>
  <si>
    <t>Staff_084</t>
  </si>
  <si>
    <t>Staff_085</t>
  </si>
  <si>
    <t>Staff_086</t>
  </si>
  <si>
    <t>Staff_087</t>
  </si>
  <si>
    <t>Staff_088</t>
  </si>
  <si>
    <t>Staff_089</t>
  </si>
  <si>
    <t>Staff_090</t>
  </si>
  <si>
    <t>Staff_091</t>
  </si>
  <si>
    <t>Staff_092</t>
  </si>
  <si>
    <t>Staff_093</t>
  </si>
  <si>
    <t>Staff_094</t>
  </si>
  <si>
    <t>Staff_095</t>
  </si>
  <si>
    <t>Sales &amp; Marketing</t>
  </si>
  <si>
    <t>Repairs</t>
  </si>
  <si>
    <t>Administration</t>
  </si>
  <si>
    <t>Division 013</t>
  </si>
  <si>
    <t>Division 024</t>
  </si>
  <si>
    <t>Division 083</t>
  </si>
  <si>
    <t>Division 051</t>
  </si>
  <si>
    <t>Division 026</t>
  </si>
  <si>
    <t>Division 055</t>
  </si>
  <si>
    <t>Division 007</t>
  </si>
  <si>
    <t>Division 087</t>
  </si>
  <si>
    <t>Division 040</t>
  </si>
  <si>
    <t>Division 076</t>
  </si>
  <si>
    <t>Division 025</t>
  </si>
  <si>
    <t>Division 047</t>
  </si>
  <si>
    <t>Division 098</t>
  </si>
  <si>
    <t>Division 049</t>
  </si>
  <si>
    <t>Division 043</t>
  </si>
  <si>
    <t>Division 012</t>
  </si>
  <si>
    <t>Division 077</t>
  </si>
  <si>
    <t>Division 080</t>
  </si>
  <si>
    <t>Division 058</t>
  </si>
  <si>
    <t>Division 062</t>
  </si>
  <si>
    <t>Division 065</t>
  </si>
  <si>
    <t>Division 100</t>
  </si>
  <si>
    <t>Division 009</t>
  </si>
  <si>
    <t>Division 010</t>
  </si>
  <si>
    <t>Division 064</t>
  </si>
  <si>
    <t>Division 078</t>
  </si>
  <si>
    <t>Division 002</t>
  </si>
  <si>
    <t>Division 017</t>
  </si>
  <si>
    <t>Division 061</t>
  </si>
  <si>
    <t>Division 053</t>
  </si>
  <si>
    <t>Division 090</t>
  </si>
  <si>
    <t>Division 072</t>
  </si>
  <si>
    <t>Division 068</t>
  </si>
  <si>
    <t>Division 046</t>
  </si>
  <si>
    <t>Division 095</t>
  </si>
  <si>
    <t>Division 084</t>
  </si>
  <si>
    <t>Division 033</t>
  </si>
  <si>
    <t>Division 088</t>
  </si>
  <si>
    <t>Division 089</t>
  </si>
  <si>
    <t>Division 092</t>
  </si>
  <si>
    <t>Division 069</t>
  </si>
  <si>
    <t>Division 091</t>
  </si>
  <si>
    <t>Division 018</t>
  </si>
  <si>
    <t>Division 056</t>
  </si>
  <si>
    <t>Division 070</t>
  </si>
  <si>
    <t>Division 005</t>
  </si>
  <si>
    <t>Division 093</t>
  </si>
  <si>
    <t>Division 038</t>
  </si>
  <si>
    <t>Division 008</t>
  </si>
  <si>
    <t>Division 021</t>
  </si>
  <si>
    <t>Division 020</t>
  </si>
  <si>
    <t>Division 039</t>
  </si>
  <si>
    <t>Division 052</t>
  </si>
  <si>
    <t>Division 075</t>
  </si>
  <si>
    <t>Division 048</t>
  </si>
  <si>
    <t>Division 035</t>
  </si>
  <si>
    <t>Division 034</t>
  </si>
  <si>
    <t>Division 054</t>
  </si>
  <si>
    <t>Division 041</t>
  </si>
  <si>
    <t>Division 082</t>
  </si>
  <si>
    <t>Division 037</t>
  </si>
  <si>
    <t>Division 097</t>
  </si>
  <si>
    <t>Division 011</t>
  </si>
  <si>
    <t>Division 059</t>
  </si>
  <si>
    <t>Division 014</t>
  </si>
  <si>
    <t>Division 060</t>
  </si>
  <si>
    <t>Division 022</t>
  </si>
  <si>
    <t>Division 050</t>
  </si>
  <si>
    <t>Division 016</t>
  </si>
  <si>
    <t>Division 031</t>
  </si>
  <si>
    <t>Division 079</t>
  </si>
  <si>
    <t>Division 019</t>
  </si>
  <si>
    <t>Division 086</t>
  </si>
  <si>
    <t>Division 067</t>
  </si>
  <si>
    <t>21-30</t>
  </si>
  <si>
    <t>6-10</t>
  </si>
  <si>
    <t>1-5</t>
  </si>
  <si>
    <t>11-20</t>
  </si>
  <si>
    <t>31-40</t>
  </si>
  <si>
    <t>Yes</t>
  </si>
  <si>
    <t>No</t>
  </si>
  <si>
    <t>Out on leave / travel</t>
  </si>
  <si>
    <t>Time conflict with shift</t>
  </si>
  <si>
    <t>Location too far</t>
  </si>
  <si>
    <t>Unaware of meeting schedule</t>
  </si>
  <si>
    <t>Topic felt not relevant</t>
  </si>
  <si>
    <t>Manager approval not granted</t>
  </si>
  <si>
    <t>Forgot due to no reminder</t>
  </si>
  <si>
    <t>Prefer online/recording</t>
  </si>
  <si>
    <t>Unaware</t>
  </si>
  <si>
    <t>NA</t>
  </si>
  <si>
    <t>&lt;1</t>
  </si>
  <si>
    <t>Unsure</t>
  </si>
  <si>
    <t>Would You Be Interested? (Yes/No/Unsure/Unsure)</t>
  </si>
  <si>
    <t>Time conflict</t>
  </si>
  <si>
    <t>Superviors Status</t>
  </si>
  <si>
    <t>Non-supervisor</t>
  </si>
  <si>
    <t>Awareness Status</t>
  </si>
  <si>
    <t>Sort by YOS</t>
  </si>
  <si>
    <t>s</t>
  </si>
  <si>
    <t>Attendance Status</t>
  </si>
  <si>
    <t>ID</t>
  </si>
  <si>
    <t>Row Labels</t>
  </si>
  <si>
    <t>Grand Total</t>
  </si>
  <si>
    <t>Count of ID</t>
  </si>
  <si>
    <t>Aware of office</t>
  </si>
  <si>
    <t>Aware of office &amp; meeting</t>
  </si>
  <si>
    <t>Unaware of office &amp; meeting</t>
  </si>
  <si>
    <t>Aware Attendee</t>
  </si>
  <si>
    <t>Aware Non-attendee</t>
  </si>
  <si>
    <t>Office Aware Non-attendee</t>
  </si>
  <si>
    <t>Unaware Non-attendee</t>
  </si>
  <si>
    <t>Total Respondent</t>
  </si>
  <si>
    <t>Aware of Safety &amp; Wellness Office</t>
  </si>
  <si>
    <t>Aware of Monthly Meetings</t>
  </si>
  <si>
    <t>Past 3yrs Attendance</t>
  </si>
  <si>
    <t>Response</t>
  </si>
  <si>
    <t>Interest in Future Meetings</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</si>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</sst>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4"/>
      <color theme="3"/>
      <name val="Calibri"/>
      <family val="2"/>
      <scheme val="minor"/>
    </font>
    <font>
      <b/>
      <sz val="16"/>
      <color theme="3"/>
      <name val="Calibri"/>
      <family val="2"/>
      <scheme val="minor"/>
    </font>
    <font>
      <b/>
      <sz val="11"/>
      <color theme="0"/>
      <name val="Georgia"/>
      <family val="1"/>
    </font>
    <font>
      <sz val="11"/>
      <color theme="3"/>
      <name val="Calibri"/>
      <family val="2"/>
      <scheme val="minor"/>
    </font>
    <font>
      <b/>
      <sz val="11"/>
      <color theme="2"/>
      <name val="Georgia"/>
      <family val="1"/>
    </font>
    <font>
      <sz val="11"/>
      <color theme="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3">
    <border>
      <left/>
      <right/>
      <top/>
      <bottom/>
      <diagonal/>
    </border>
    <border>
      <left style="thin">
        <color auto="1"/>
      </left>
      <right style="thin">
        <color auto="1"/>
      </right>
      <top/>
      <bottom style="thin">
        <color auto="1"/>
      </bottom>
      <diagonal/>
    </border>
    <border>
      <left/>
      <right/>
      <top style="thin">
        <color auto="1"/>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9" fontId="0" fillId="0" borderId="0" xfId="1" applyFont="1"/>
    <xf numFmtId="9"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2" borderId="2" xfId="0" applyFill="1" applyBorder="1"/>
    <xf numFmtId="0" fontId="0" fillId="2" borderId="0" xfId="0" applyFill="1"/>
    <xf numFmtId="0" fontId="5" fillId="2" borderId="0" xfId="0" applyFont="1" applyFill="1"/>
    <xf numFmtId="0" fontId="4" fillId="2" borderId="0" xfId="0" applyFont="1" applyFill="1"/>
    <xf numFmtId="0" fontId="0" fillId="3" borderId="0" xfId="0" applyFill="1"/>
    <xf numFmtId="0" fontId="0" fillId="3" borderId="0" xfId="0" applyFill="1" applyAlignment="1">
      <alignment wrapText="1"/>
    </xf>
    <xf numFmtId="0" fontId="6" fillId="3" borderId="0" xfId="0" applyFont="1" applyFill="1"/>
    <xf numFmtId="0" fontId="7" fillId="2" borderId="0" xfId="0" applyFont="1" applyFill="1"/>
    <xf numFmtId="0" fontId="8" fillId="3" borderId="0" xfId="0" applyFont="1" applyFill="1"/>
    <xf numFmtId="0" fontId="9" fillId="3" borderId="0" xfId="0" applyFont="1" applyFill="1"/>
    <xf numFmtId="0" fontId="6" fillId="3" borderId="0" xfId="0" applyFont="1" applyFill="1" applyAlignment="1">
      <alignment horizontal="center" wrapText="1"/>
    </xf>
    <xf numFmtId="0" fontId="0" fillId="3" borderId="0" xfId="0" applyFill="1" applyAlignment="1">
      <alignment horizontal="center" wrapText="1"/>
    </xf>
  </cellXfs>
  <cellStyles count="2">
    <cellStyle name="Normal" xfId="0" builtinId="0"/>
    <cellStyle name="Percent" xfId="1" builtinId="5"/>
  </cellStyles>
  <dxfs count="2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9"/>
        <color theme="3"/>
      </font>
      <fill>
        <patternFill>
          <bgColor theme="0"/>
        </patternFill>
      </fill>
      <border>
        <left style="thin">
          <color auto="1"/>
        </left>
        <right style="thin">
          <color auto="1"/>
        </right>
        <top style="thin">
          <color auto="1"/>
        </top>
        <bottom style="thin">
          <color auto="1"/>
        </bottom>
      </border>
    </dxf>
    <dxf>
      <font>
        <b/>
        <i val="0"/>
        <sz val="10"/>
        <name val="Georgia"/>
        <family val="1"/>
        <scheme val="none"/>
      </font>
      <fill>
        <patternFill>
          <bgColor theme="3"/>
        </patternFill>
      </fill>
      <border diagonalUp="0" diagonalDown="0">
        <left/>
        <right/>
        <top/>
        <bottom/>
        <vertical/>
        <horizontal/>
      </border>
    </dxf>
  </dxfs>
  <tableStyles count="1" defaultTableStyle="TableStyleMedium9" defaultPivotStyle="PivotStyleLight16">
    <tableStyle name="Slicer Style 1" pivot="0" table="0" count="10" xr9:uid="{52EF6805-7E5A-49B9-B0C4-BEA7CEE00FED}">
      <tableStyleElement type="wholeTable" dxfId="25"/>
      <tableStyleElement type="headerRow" dxfId="24"/>
    </tableStyle>
  </tableStyles>
  <extLst>
    <ext xmlns:x14="http://schemas.microsoft.com/office/spreadsheetml/2009/9/main" uri="{46F421CA-312F-682f-3DD2-61675219B42D}">
      <x14:dxfs count="8">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3"/>
            <name val="Georgia"/>
            <family val="1"/>
          </font>
          <fill>
            <patternFill>
              <bgColor theme="0" tint="-4.9989318521683403E-2"/>
            </patternFill>
          </fill>
        </dxf>
        <dxf>
          <font>
            <b/>
            <i val="0"/>
            <color theme="3"/>
          </font>
          <fill>
            <patternFill>
              <bgColor theme="0"/>
            </patternFill>
          </fill>
        </dxf>
        <dxf>
          <font>
            <color theme="3"/>
            <name val="Georgia"/>
            <family val="1"/>
            <scheme val="none"/>
          </font>
          <fill>
            <patternFill>
              <bgColor theme="0" tint="-4.9989318521683403E-2"/>
            </patternFill>
          </fill>
        </dxf>
        <dxf>
          <font>
            <color theme="3"/>
            <name val="Georgia"/>
            <family val="1"/>
            <scheme val="none"/>
          </font>
          <fill>
            <patternFill>
              <bgColor theme="6"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Wellness.xlsx]Pivot table!PivotTable28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0800" dist="38100" dir="5400000" algn="t" rotWithShape="0">
              <a:prstClr val="black">
                <a:alpha val="40000"/>
              </a:prstClr>
            </a:outerShdw>
          </a:effectLst>
        </c:spPr>
        <c:marker>
          <c:symbol val="none"/>
        </c:marker>
        <c:dLbl>
          <c:idx val="0"/>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54080125666099"/>
          <c:y val="4.8750007997048553E-2"/>
          <c:w val="0.61391352918168463"/>
          <c:h val="0.89166664889544767"/>
        </c:manualLayout>
      </c:layout>
      <c:barChart>
        <c:barDir val="bar"/>
        <c:grouping val="clustered"/>
        <c:varyColors val="0"/>
        <c:ser>
          <c:idx val="0"/>
          <c:order val="0"/>
          <c:tx>
            <c:strRef>
              <c:f>'Pivot table'!$G$16</c:f>
              <c:strCache>
                <c:ptCount val="1"/>
                <c:pt idx="0">
                  <c:v>Total</c:v>
                </c:pt>
              </c:strCache>
            </c:strRef>
          </c:tx>
          <c:spPr>
            <a:solidFill>
              <a:schemeClr val="bg1"/>
            </a:solidFill>
            <a:ln>
              <a:noFill/>
            </a:ln>
            <a:effectLst>
              <a:outerShdw blurRad="50800" dist="38100" dir="5400000" algn="t" rotWithShape="0">
                <a:prstClr val="black">
                  <a:alpha val="40000"/>
                </a:prstClr>
              </a:outerShdw>
            </a:effectLst>
          </c:spPr>
          <c:invertIfNegative val="0"/>
          <c:dLbls>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table'!$F$17:$F$21</c:f>
              <c:strCache>
                <c:ptCount val="4"/>
                <c:pt idx="0">
                  <c:v>Aware Attendee</c:v>
                </c:pt>
                <c:pt idx="1">
                  <c:v>Aware Non-attendee</c:v>
                </c:pt>
                <c:pt idx="2">
                  <c:v>Office Aware Non-attendee</c:v>
                </c:pt>
                <c:pt idx="3">
                  <c:v>Unaware Non-attendee</c:v>
                </c:pt>
              </c:strCache>
            </c:strRef>
          </c:cat>
          <c:val>
            <c:numRef>
              <c:f>'Pivot table'!$G$17:$G$21</c:f>
              <c:numCache>
                <c:formatCode>0%</c:formatCode>
                <c:ptCount val="4"/>
                <c:pt idx="0">
                  <c:v>0.30526315789473685</c:v>
                </c:pt>
                <c:pt idx="1">
                  <c:v>0.29473684210526313</c:v>
                </c:pt>
                <c:pt idx="2">
                  <c:v>0.1368421052631579</c:v>
                </c:pt>
                <c:pt idx="3">
                  <c:v>0.26315789473684209</c:v>
                </c:pt>
              </c:numCache>
            </c:numRef>
          </c:val>
          <c:extLst>
            <c:ext xmlns:c16="http://schemas.microsoft.com/office/drawing/2014/chart" uri="{C3380CC4-5D6E-409C-BE32-E72D297353CC}">
              <c16:uniqueId val="{00000000-29F1-174B-96E4-C589766BD3C8}"/>
            </c:ext>
          </c:extLst>
        </c:ser>
        <c:dLbls>
          <c:showLegendKey val="0"/>
          <c:showVal val="0"/>
          <c:showCatName val="0"/>
          <c:showSerName val="0"/>
          <c:showPercent val="0"/>
          <c:showBubbleSize val="0"/>
        </c:dLbls>
        <c:gapWidth val="219"/>
        <c:axId val="656953727"/>
        <c:axId val="613341759"/>
      </c:barChart>
      <c:catAx>
        <c:axId val="656953727"/>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bg1"/>
                </a:solidFill>
                <a:latin typeface="Georgia" panose="02040502050405020303" pitchFamily="18" charset="0"/>
                <a:ea typeface="+mn-ea"/>
                <a:cs typeface="+mn-cs"/>
              </a:defRPr>
            </a:pPr>
            <a:endParaRPr lang="en-US"/>
          </a:p>
        </c:txPr>
        <c:crossAx val="613341759"/>
        <c:crosses val="autoZero"/>
        <c:auto val="1"/>
        <c:lblAlgn val="ctr"/>
        <c:lblOffset val="100"/>
        <c:noMultiLvlLbl val="0"/>
      </c:catAx>
      <c:valAx>
        <c:axId val="613341759"/>
        <c:scaling>
          <c:orientation val="minMax"/>
        </c:scaling>
        <c:delete val="1"/>
        <c:axPos val="b"/>
        <c:numFmt formatCode="0%" sourceLinked="1"/>
        <c:majorTickMark val="none"/>
        <c:minorTickMark val="none"/>
        <c:tickLblPos val="nextTo"/>
        <c:crossAx val="656953727"/>
        <c:crosses val="autoZero"/>
        <c:crossBetween val="between"/>
      </c:valAx>
      <c:spPr>
        <a:noFill/>
        <a:ln w="25400">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Wellness.xlsx]Pivot table!PivotTable27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0800" dist="38100" dir="5400000" algn="t" rotWithShape="0">
              <a:prstClr val="black">
                <a:alpha val="40000"/>
              </a:prstClr>
            </a:outerShdw>
          </a:effectLst>
        </c:spPr>
        <c:marker>
          <c:symbol val="none"/>
        </c:marker>
        <c:dLbl>
          <c:idx val="0"/>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chemeClr val="bg1"/>
            </a:solidFill>
            <a:ln>
              <a:noFill/>
            </a:ln>
            <a:effectLst>
              <a:outerShdw blurRad="50800" dist="38100" dir="5400000" algn="t" rotWithShape="0">
                <a:prstClr val="black">
                  <a:alpha val="40000"/>
                </a:prstClr>
              </a:outerShdw>
            </a:effectLst>
          </c:spPr>
          <c:invertIfNegative val="0"/>
          <c:dLbls>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table'!$A$17:$A$20</c:f>
              <c:strCache>
                <c:ptCount val="3"/>
                <c:pt idx="0">
                  <c:v>Aware of office</c:v>
                </c:pt>
                <c:pt idx="1">
                  <c:v>Aware of office &amp; meeting</c:v>
                </c:pt>
                <c:pt idx="2">
                  <c:v>Unaware of office &amp; meeting</c:v>
                </c:pt>
              </c:strCache>
            </c:strRef>
          </c:cat>
          <c:val>
            <c:numRef>
              <c:f>'Pivot table'!$B$17:$B$20</c:f>
              <c:numCache>
                <c:formatCode>0%</c:formatCode>
                <c:ptCount val="3"/>
                <c:pt idx="0">
                  <c:v>0.1368421052631579</c:v>
                </c:pt>
                <c:pt idx="1">
                  <c:v>0.6</c:v>
                </c:pt>
                <c:pt idx="2">
                  <c:v>0.26315789473684209</c:v>
                </c:pt>
              </c:numCache>
            </c:numRef>
          </c:val>
          <c:extLst>
            <c:ext xmlns:c16="http://schemas.microsoft.com/office/drawing/2014/chart" uri="{C3380CC4-5D6E-409C-BE32-E72D297353CC}">
              <c16:uniqueId val="{00000000-7A69-4F4C-A4CA-15EB66678526}"/>
            </c:ext>
          </c:extLst>
        </c:ser>
        <c:dLbls>
          <c:showLegendKey val="0"/>
          <c:showVal val="0"/>
          <c:showCatName val="0"/>
          <c:showSerName val="0"/>
          <c:showPercent val="0"/>
          <c:showBubbleSize val="0"/>
        </c:dLbls>
        <c:gapWidth val="219"/>
        <c:axId val="634090623"/>
        <c:axId val="613950207"/>
      </c:barChart>
      <c:catAx>
        <c:axId val="63409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Georgia" panose="02040502050405020303" pitchFamily="18" charset="0"/>
                <a:ea typeface="+mn-ea"/>
                <a:cs typeface="+mn-cs"/>
              </a:defRPr>
            </a:pPr>
            <a:endParaRPr lang="en-US"/>
          </a:p>
        </c:txPr>
        <c:crossAx val="613950207"/>
        <c:crosses val="autoZero"/>
        <c:auto val="1"/>
        <c:lblAlgn val="ctr"/>
        <c:lblOffset val="100"/>
        <c:noMultiLvlLbl val="0"/>
      </c:catAx>
      <c:valAx>
        <c:axId val="613950207"/>
        <c:scaling>
          <c:orientation val="minMax"/>
        </c:scaling>
        <c:delete val="1"/>
        <c:axPos val="b"/>
        <c:numFmt formatCode="0%" sourceLinked="1"/>
        <c:majorTickMark val="none"/>
        <c:minorTickMark val="none"/>
        <c:tickLblPos val="nextTo"/>
        <c:crossAx val="634090623"/>
        <c:crosses val="autoZero"/>
        <c:crossBetween val="between"/>
      </c:valAx>
      <c:spPr>
        <a:noFill/>
        <a:ln w="25400">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Wellness.xlsx]Pivot table!PivotTable29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alpha val="88030"/>
            </a:schemeClr>
          </a:solidFill>
          <a:ln>
            <a:noFill/>
          </a:ln>
          <a:effectLst>
            <a:outerShdw blurRad="50800" dist="38100" dir="5400000" algn="t" rotWithShape="0">
              <a:prstClr val="black">
                <a:alpha val="40000"/>
              </a:prstClr>
            </a:outerShdw>
          </a:effectLst>
        </c:spPr>
        <c:dLbl>
          <c:idx val="0"/>
          <c:layout>
            <c:manualLayout>
              <c:x val="-0.20370370370370369"/>
              <c:y val="-0.2055555555555556"/>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1"/>
          </a:solidFill>
          <a:ln>
            <a:noFill/>
          </a:ln>
          <a:effectLst>
            <a:outerShdw blurRad="50800" dist="38100" dir="5400000" algn="t" rotWithShape="0">
              <a:prstClr val="black">
                <a:alpha val="40000"/>
              </a:prstClr>
            </a:outerShdw>
          </a:effectLst>
        </c:spPr>
        <c:dLbl>
          <c:idx val="0"/>
          <c:layout>
            <c:manualLayout>
              <c:x val="0.2839506172839506"/>
              <c:y val="-5.5555555555555566E-2"/>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lumMod val="50000"/>
              <a:alpha val="80000"/>
            </a:schemeClr>
          </a:solidFill>
          <a:ln>
            <a:noFill/>
          </a:ln>
          <a:effectLst>
            <a:outerShdw blurRad="50800" dist="38100" dir="5400000" algn="t" rotWithShape="0">
              <a:prstClr val="black">
                <a:alpha val="40000"/>
              </a:prstClr>
            </a:outerShdw>
          </a:effectLst>
        </c:spPr>
        <c:dLbl>
          <c:idx val="0"/>
          <c:layout>
            <c:manualLayout>
              <c:x val="0.25617283950617298"/>
              <c:y val="8.8888888888888892E-2"/>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table'!$M$17</c:f>
              <c:strCache>
                <c:ptCount val="1"/>
                <c:pt idx="0">
                  <c:v>Total</c:v>
                </c:pt>
              </c:strCache>
            </c:strRef>
          </c:tx>
          <c:spPr>
            <a:ln>
              <a:noFill/>
            </a:ln>
            <a:effectLst>
              <a:outerShdw blurRad="50800" dist="38100" dir="5400000" algn="t" rotWithShape="0">
                <a:prstClr val="black">
                  <a:alpha val="40000"/>
                </a:prstClr>
              </a:outerShdw>
            </a:effectLst>
          </c:spPr>
          <c:dPt>
            <c:idx val="0"/>
            <c:bubble3D val="0"/>
            <c:spPr>
              <a:solidFill>
                <a:schemeClr val="accent3">
                  <a:alpha val="8803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59BC-BE40-B3A6-BB3F4BCABE91}"/>
              </c:ext>
            </c:extLst>
          </c:dPt>
          <c:dPt>
            <c:idx val="1"/>
            <c:bubble3D val="0"/>
            <c:spPr>
              <a:solidFill>
                <a:schemeClr val="bg1"/>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59BC-BE40-B3A6-BB3F4BCABE91}"/>
              </c:ext>
            </c:extLst>
          </c:dPt>
          <c:dPt>
            <c:idx val="2"/>
            <c:bubble3D val="0"/>
            <c:spPr>
              <a:solidFill>
                <a:schemeClr val="accent3">
                  <a:lumMod val="50000"/>
                  <a:alpha val="8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59BC-BE40-B3A6-BB3F4BCABE91}"/>
              </c:ext>
            </c:extLst>
          </c:dPt>
          <c:dLbls>
            <c:dLbl>
              <c:idx val="0"/>
              <c:layout>
                <c:manualLayout>
                  <c:x val="-0.20370370370370369"/>
                  <c:y val="-0.205555555555555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BC-BE40-B3A6-BB3F4BCABE91}"/>
                </c:ext>
              </c:extLst>
            </c:dLbl>
            <c:dLbl>
              <c:idx val="1"/>
              <c:layout>
                <c:manualLayout>
                  <c:x val="0.2839506172839506"/>
                  <c:y val="-5.55555555555555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BC-BE40-B3A6-BB3F4BCABE91}"/>
                </c:ext>
              </c:extLst>
            </c:dLbl>
            <c:dLbl>
              <c:idx val="2"/>
              <c:layout>
                <c:manualLayout>
                  <c:x val="0.25617283950617298"/>
                  <c:y val="8.88888888888888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BC-BE40-B3A6-BB3F4BCABE91}"/>
                </c:ext>
              </c:extLst>
            </c:dLbl>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'Pivot table'!$L$18:$L$21</c:f>
              <c:strCache>
                <c:ptCount val="3"/>
                <c:pt idx="0">
                  <c:v>NA</c:v>
                </c:pt>
                <c:pt idx="1">
                  <c:v>Time conflict</c:v>
                </c:pt>
                <c:pt idx="2">
                  <c:v>Unaware</c:v>
                </c:pt>
              </c:strCache>
            </c:strRef>
          </c:cat>
          <c:val>
            <c:numRef>
              <c:f>'Pivot table'!$M$18:$M$21</c:f>
              <c:numCache>
                <c:formatCode>General</c:formatCode>
                <c:ptCount val="3"/>
                <c:pt idx="0">
                  <c:v>33</c:v>
                </c:pt>
                <c:pt idx="1">
                  <c:v>22</c:v>
                </c:pt>
                <c:pt idx="2">
                  <c:v>40</c:v>
                </c:pt>
              </c:numCache>
            </c:numRef>
          </c:val>
          <c:extLst>
            <c:ext xmlns:c16="http://schemas.microsoft.com/office/drawing/2014/chart" uri="{C3380CC4-5D6E-409C-BE32-E72D297353CC}">
              <c16:uniqueId val="{00000006-59BC-BE40-B3A6-BB3F4BCABE91}"/>
            </c:ext>
          </c:extLst>
        </c:ser>
        <c:dLbls>
          <c:showLegendKey val="0"/>
          <c:showVal val="0"/>
          <c:showCatName val="0"/>
          <c:showSerName val="0"/>
          <c:showPercent val="0"/>
          <c:showBubbleSize val="0"/>
          <c:showLeaderLines val="1"/>
        </c:dLbls>
        <c:firstSliceAng val="194"/>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 Wellness.xlsx]Pivot table!PivotTable30</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ln>
            <a:noFill/>
          </a:ln>
        </c:spPr>
        <c:marker>
          <c:symbol val="none"/>
        </c:marker>
        <c:dLbl>
          <c:idx val="0"/>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lumMod val="50000"/>
              <a:alpha val="80000"/>
            </a:schemeClr>
          </a:solidFill>
          <a:ln>
            <a:noFill/>
          </a:ln>
          <a:effectLst>
            <a:outerShdw blurRad="50800" dist="38100" dir="5400000" algn="t" rotWithShape="0">
              <a:prstClr val="black">
                <a:alpha val="40000"/>
              </a:prstClr>
            </a:outerShdw>
          </a:effectLst>
        </c:spPr>
        <c:dLbl>
          <c:idx val="0"/>
          <c:layout>
            <c:manualLayout>
              <c:x val="0.22449518497940926"/>
              <c:y val="0.10371138339836745"/>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solidFill>
          <a:ln>
            <a:noFill/>
          </a:ln>
          <a:effectLst>
            <a:outerShdw blurRad="50800" dist="38100" dir="5400000" algn="t" rotWithShape="0">
              <a:prstClr val="black">
                <a:alpha val="40000"/>
              </a:prstClr>
            </a:outerShdw>
          </a:effectLst>
        </c:spPr>
        <c:dLbl>
          <c:idx val="0"/>
          <c:layout>
            <c:manualLayout>
              <c:x val="-0.24691358024691357"/>
              <c:y val="0"/>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 table'!$T$17</c:f>
              <c:strCache>
                <c:ptCount val="1"/>
                <c:pt idx="0">
                  <c:v>Total</c:v>
                </c:pt>
              </c:strCache>
            </c:strRef>
          </c:tx>
          <c:spPr>
            <a:ln>
              <a:noFill/>
            </a:ln>
          </c:spPr>
          <c:dPt>
            <c:idx val="0"/>
            <c:bubble3D val="0"/>
            <c:spPr>
              <a:solidFill>
                <a:schemeClr val="accent3">
                  <a:lumMod val="50000"/>
                  <a:alpha val="80000"/>
                </a:schemeClr>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8907-8F4C-9237-EE6EEA65B160}"/>
              </c:ext>
            </c:extLst>
          </c:dPt>
          <c:dPt>
            <c:idx val="1"/>
            <c:bubble3D val="0"/>
            <c:spPr>
              <a:solidFill>
                <a:schemeClr val="bg1"/>
              </a:soli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8907-8F4C-9237-EE6EEA65B160}"/>
              </c:ext>
            </c:extLst>
          </c:dPt>
          <c:dLbls>
            <c:dLbl>
              <c:idx val="0"/>
              <c:layout>
                <c:manualLayout>
                  <c:x val="0.22449518497940926"/>
                  <c:y val="0.103711383398367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07-8F4C-9237-EE6EEA65B160}"/>
                </c:ext>
              </c:extLst>
            </c:dLbl>
            <c:dLbl>
              <c:idx val="1"/>
              <c:layout>
                <c:manualLayout>
                  <c:x val="-0.24691358024691357"/>
                  <c:y val="0"/>
                </c:manualLayout>
              </c:layout>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8907-8F4C-9237-EE6EEA65B160}"/>
                </c:ext>
              </c:extLst>
            </c:dLbl>
            <c:spPr>
              <a:noFill/>
              <a:ln>
                <a:solidFill>
                  <a:schemeClr val="bg1"/>
                </a:solid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extLst>
          </c:dLbls>
          <c:cat>
            <c:strRef>
              <c:f>'Pivot table'!$S$18:$S$20</c:f>
              <c:strCache>
                <c:ptCount val="2"/>
                <c:pt idx="0">
                  <c:v>Yes</c:v>
                </c:pt>
                <c:pt idx="1">
                  <c:v>No</c:v>
                </c:pt>
              </c:strCache>
            </c:strRef>
          </c:cat>
          <c:val>
            <c:numRef>
              <c:f>'Pivot table'!$T$18:$T$20</c:f>
              <c:numCache>
                <c:formatCode>General</c:formatCode>
                <c:ptCount val="2"/>
                <c:pt idx="0">
                  <c:v>66</c:v>
                </c:pt>
                <c:pt idx="1">
                  <c:v>29</c:v>
                </c:pt>
              </c:numCache>
            </c:numRef>
          </c:val>
          <c:extLst>
            <c:ext xmlns:c16="http://schemas.microsoft.com/office/drawing/2014/chart" uri="{C3380CC4-5D6E-409C-BE32-E72D297353CC}">
              <c16:uniqueId val="{00000004-8907-8F4C-9237-EE6EEA65B16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27214</xdr:colOff>
      <xdr:row>7</xdr:row>
      <xdr:rowOff>190499</xdr:rowOff>
    </xdr:from>
    <xdr:to>
      <xdr:col>23</xdr:col>
      <xdr:colOff>0</xdr:colOff>
      <xdr:row>39</xdr:row>
      <xdr:rowOff>176891</xdr:rowOff>
    </xdr:to>
    <xdr:sp macro="" textlink="">
      <xdr:nvSpPr>
        <xdr:cNvPr id="45" name="Rectangle 44">
          <a:extLst>
            <a:ext uri="{FF2B5EF4-FFF2-40B4-BE49-F238E27FC236}">
              <a16:creationId xmlns:a16="http://schemas.microsoft.com/office/drawing/2014/main" id="{1FD08C8C-BE59-4F9A-C4B6-0EC5A346C86A}"/>
            </a:ext>
          </a:extLst>
        </xdr:cNvPr>
        <xdr:cNvSpPr/>
      </xdr:nvSpPr>
      <xdr:spPr>
        <a:xfrm>
          <a:off x="4599214" y="1523999"/>
          <a:ext cx="13525500" cy="7089321"/>
        </a:xfrm>
        <a:prstGeom prst="rect">
          <a:avLst/>
        </a:prstGeom>
        <a:noFill/>
        <a:ln w="6350">
          <a:solidFill>
            <a:schemeClr val="tx2"/>
          </a:solidFill>
          <a:prstDash val="sysDot"/>
        </a:ln>
        <a:effectLst>
          <a:outerShdw blurRad="50800" dist="381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50800" dist="38100" dir="2700000" algn="tl" rotWithShape="0">
                <a:prstClr val="black">
                  <a:alpha val="40000"/>
                </a:prstClr>
              </a:outerShdw>
            </a:effectLst>
          </a:endParaRPr>
        </a:p>
      </xdr:txBody>
    </xdr:sp>
    <xdr:clientData/>
  </xdr:twoCellAnchor>
  <xdr:twoCellAnchor>
    <xdr:from>
      <xdr:col>6</xdr:col>
      <xdr:colOff>219075</xdr:colOff>
      <xdr:row>8</xdr:row>
      <xdr:rowOff>93785</xdr:rowOff>
    </xdr:from>
    <xdr:to>
      <xdr:col>22</xdr:col>
      <xdr:colOff>119062</xdr:colOff>
      <xdr:row>38</xdr:row>
      <xdr:rowOff>5037</xdr:rowOff>
    </xdr:to>
    <xdr:grpSp>
      <xdr:nvGrpSpPr>
        <xdr:cNvPr id="60" name="Group 59">
          <a:extLst>
            <a:ext uri="{FF2B5EF4-FFF2-40B4-BE49-F238E27FC236}">
              <a16:creationId xmlns:a16="http://schemas.microsoft.com/office/drawing/2014/main" id="{24EE2AF1-C6F0-EBB0-62C5-560370B4FB19}"/>
            </a:ext>
          </a:extLst>
        </xdr:cNvPr>
        <xdr:cNvGrpSpPr/>
      </xdr:nvGrpSpPr>
      <xdr:grpSpPr>
        <a:xfrm>
          <a:off x="5031707" y="1608873"/>
          <a:ext cx="13758583" cy="6539760"/>
          <a:chOff x="5534025" y="1598735"/>
          <a:chExt cx="12692770" cy="6282419"/>
        </a:xfrm>
      </xdr:grpSpPr>
      <xdr:grpSp>
        <xdr:nvGrpSpPr>
          <xdr:cNvPr id="40" name="Group 39">
            <a:extLst>
              <a:ext uri="{FF2B5EF4-FFF2-40B4-BE49-F238E27FC236}">
                <a16:creationId xmlns:a16="http://schemas.microsoft.com/office/drawing/2014/main" id="{DBBCF0B4-1095-1680-D0F5-E4D722C3886D}"/>
              </a:ext>
            </a:extLst>
          </xdr:cNvPr>
          <xdr:cNvGrpSpPr/>
        </xdr:nvGrpSpPr>
        <xdr:grpSpPr>
          <a:xfrm>
            <a:off x="5667375" y="3411280"/>
            <a:ext cx="1828800" cy="4441615"/>
            <a:chOff x="5667375" y="3413397"/>
            <a:chExt cx="1828800" cy="4450081"/>
          </a:xfrm>
        </xdr:grpSpPr>
        <xdr:grpSp>
          <xdr:nvGrpSpPr>
            <xdr:cNvPr id="38" name="Group 37">
              <a:extLst>
                <a:ext uri="{FF2B5EF4-FFF2-40B4-BE49-F238E27FC236}">
                  <a16:creationId xmlns:a16="http://schemas.microsoft.com/office/drawing/2014/main" id="{C0F8838E-6981-BE9B-7A44-6F10AA2D1018}"/>
                </a:ext>
              </a:extLst>
            </xdr:cNvPr>
            <xdr:cNvGrpSpPr/>
          </xdr:nvGrpSpPr>
          <xdr:grpSpPr>
            <a:xfrm>
              <a:off x="5667375" y="6308998"/>
              <a:ext cx="1828800" cy="1554480"/>
              <a:chOff x="2819400" y="7543800"/>
              <a:chExt cx="2743200" cy="1554480"/>
            </a:xfrm>
          </xdr:grpSpPr>
          <xdr:sp macro="" textlink="">
            <xdr:nvSpPr>
              <xdr:cNvPr id="35" name="Rectangle 34">
                <a:extLst>
                  <a:ext uri="{FF2B5EF4-FFF2-40B4-BE49-F238E27FC236}">
                    <a16:creationId xmlns:a16="http://schemas.microsoft.com/office/drawing/2014/main" id="{6C4890B0-A369-D644-9F27-D9AD1CCBFFF5}"/>
                  </a:ext>
                </a:extLst>
              </xdr:cNvPr>
              <xdr:cNvSpPr/>
            </xdr:nvSpPr>
            <xdr:spPr>
              <a:xfrm>
                <a:off x="2819400" y="7543800"/>
                <a:ext cx="2743200" cy="155448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7F3C080-E8E8-AC49-8C84-9E1821E1787B}"/>
                      </a:ext>
                    </a:extLst>
                  </xdr:cNvPr>
                  <xdr:cNvGraphicFramePr/>
                </xdr:nvGraphicFramePr>
                <xdr:xfrm>
                  <a:off x="2987267" y="7724775"/>
                  <a:ext cx="2451735" cy="1272902"/>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43951" y="6706711"/>
                    <a:ext cx="1685234" cy="1323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7" name="Group 36">
              <a:extLst>
                <a:ext uri="{FF2B5EF4-FFF2-40B4-BE49-F238E27FC236}">
                  <a16:creationId xmlns:a16="http://schemas.microsoft.com/office/drawing/2014/main" id="{AFE37F6B-7E90-9E82-2337-C4DC51E1E589}"/>
                </a:ext>
              </a:extLst>
            </xdr:cNvPr>
            <xdr:cNvGrpSpPr/>
          </xdr:nvGrpSpPr>
          <xdr:grpSpPr>
            <a:xfrm>
              <a:off x="5667375" y="4854847"/>
              <a:ext cx="1828800" cy="1371600"/>
              <a:chOff x="2832100" y="5702298"/>
              <a:chExt cx="2743200" cy="1371600"/>
            </a:xfrm>
          </xdr:grpSpPr>
          <xdr:sp macro="" textlink="">
            <xdr:nvSpPr>
              <xdr:cNvPr id="34" name="Rectangle 33">
                <a:extLst>
                  <a:ext uri="{FF2B5EF4-FFF2-40B4-BE49-F238E27FC236}">
                    <a16:creationId xmlns:a16="http://schemas.microsoft.com/office/drawing/2014/main" id="{B2F4FF94-E08B-314A-81B1-9560D23DD2AD}"/>
                  </a:ext>
                </a:extLst>
              </xdr:cNvPr>
              <xdr:cNvSpPr/>
            </xdr:nvSpPr>
            <xdr:spPr>
              <a:xfrm>
                <a:off x="2832100" y="5702298"/>
                <a:ext cx="2743200" cy="13716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 name="Superviors Status">
                    <a:extLst>
                      <a:ext uri="{FF2B5EF4-FFF2-40B4-BE49-F238E27FC236}">
                        <a16:creationId xmlns:a16="http://schemas.microsoft.com/office/drawing/2014/main" id="{FD86D21F-E85E-8F4F-A1A4-C52EFD300695}"/>
                      </a:ext>
                    </a:extLst>
                  </xdr:cNvPr>
                  <xdr:cNvGraphicFramePr/>
                </xdr:nvGraphicFramePr>
                <xdr:xfrm>
                  <a:off x="2971800" y="5885178"/>
                  <a:ext cx="2463800" cy="1005840"/>
                </xdr:xfrm>
                <a:graphic>
                  <a:graphicData uri="http://schemas.microsoft.com/office/drawing/2010/slicer">
                    <sle:slicer xmlns:sle="http://schemas.microsoft.com/office/drawing/2010/slicer" name="Superviors Status"/>
                  </a:graphicData>
                </a:graphic>
              </xdr:graphicFrame>
            </mc:Choice>
            <mc:Fallback xmlns="">
              <xdr:sp macro="" textlink="">
                <xdr:nvSpPr>
                  <xdr:cNvPr id="0" name=""/>
                  <xdr:cNvSpPr>
                    <a:spLocks noTextEdit="1"/>
                  </xdr:cNvSpPr>
                </xdr:nvSpPr>
                <xdr:spPr>
                  <a:xfrm>
                    <a:off x="5024590" y="5196183"/>
                    <a:ext cx="1693527" cy="1046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6" name="Group 35">
              <a:extLst>
                <a:ext uri="{FF2B5EF4-FFF2-40B4-BE49-F238E27FC236}">
                  <a16:creationId xmlns:a16="http://schemas.microsoft.com/office/drawing/2014/main" id="{14E69D73-55D8-5328-E523-F8C48F4C3711}"/>
                </a:ext>
              </a:extLst>
            </xdr:cNvPr>
            <xdr:cNvGrpSpPr/>
          </xdr:nvGrpSpPr>
          <xdr:grpSpPr>
            <a:xfrm>
              <a:off x="5667375" y="3413397"/>
              <a:ext cx="1828800" cy="1371599"/>
              <a:chOff x="2908300" y="3225798"/>
              <a:chExt cx="2743200" cy="1371600"/>
            </a:xfrm>
          </xdr:grpSpPr>
          <xdr:sp macro="" textlink="">
            <xdr:nvSpPr>
              <xdr:cNvPr id="31" name="Rectangle 30">
                <a:extLst>
                  <a:ext uri="{FF2B5EF4-FFF2-40B4-BE49-F238E27FC236}">
                    <a16:creationId xmlns:a16="http://schemas.microsoft.com/office/drawing/2014/main" id="{63701163-0C23-5C43-9718-EAB19E688DBD}"/>
                  </a:ext>
                </a:extLst>
              </xdr:cNvPr>
              <xdr:cNvSpPr/>
            </xdr:nvSpPr>
            <xdr:spPr>
              <a:xfrm>
                <a:off x="2908300" y="3225798"/>
                <a:ext cx="2743200" cy="13716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 name="Years of Service">
                    <a:extLst>
                      <a:ext uri="{FF2B5EF4-FFF2-40B4-BE49-F238E27FC236}">
                        <a16:creationId xmlns:a16="http://schemas.microsoft.com/office/drawing/2014/main" id="{270CB981-1B5A-D045-86EC-D851574B4599}"/>
                      </a:ext>
                    </a:extLst>
                  </xdr:cNvPr>
                  <xdr:cNvGraphicFramePr/>
                </xdr:nvGraphicFramePr>
                <xdr:xfrm>
                  <a:off x="3068320" y="3408676"/>
                  <a:ext cx="2494599" cy="1099550"/>
                </xdr:xfrm>
                <a:graphic>
                  <a:graphicData uri="http://schemas.microsoft.com/office/drawing/2010/slicer">
                    <sle:slicer xmlns:sle="http://schemas.microsoft.com/office/drawing/2010/slicer" name="Years of Service"/>
                  </a:graphicData>
                </a:graphic>
              </xdr:graphicFrame>
            </mc:Choice>
            <mc:Fallback xmlns="">
              <xdr:sp macro="" textlink="">
                <xdr:nvSpPr>
                  <xdr:cNvPr id="0" name=""/>
                  <xdr:cNvSpPr>
                    <a:spLocks noTextEdit="1"/>
                  </xdr:cNvSpPr>
                </xdr:nvSpPr>
                <xdr:spPr>
                  <a:xfrm>
                    <a:off x="5038557" y="3696882"/>
                    <a:ext cx="1714697" cy="1143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30" name="Rectangle 29">
            <a:extLst>
              <a:ext uri="{FF2B5EF4-FFF2-40B4-BE49-F238E27FC236}">
                <a16:creationId xmlns:a16="http://schemas.microsoft.com/office/drawing/2014/main" id="{21987C6E-CDE2-E044-9DB6-309D723FF8BE}"/>
              </a:ext>
            </a:extLst>
          </xdr:cNvPr>
          <xdr:cNvSpPr/>
        </xdr:nvSpPr>
        <xdr:spPr>
          <a:xfrm>
            <a:off x="5534025" y="1598735"/>
            <a:ext cx="12692770" cy="680915"/>
          </a:xfrm>
          <a:prstGeom prst="rect">
            <a:avLst/>
          </a:prstGeom>
          <a:solidFill>
            <a:schemeClr val="bg1"/>
          </a:solidFill>
          <a:ln>
            <a:solidFill>
              <a:schemeClr val="tx2"/>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3200" b="1">
                <a:solidFill>
                  <a:schemeClr val="tx2"/>
                </a:solidFill>
                <a:effectLst>
                  <a:outerShdw blurRad="50800" dist="38100" dir="2700000" algn="tl" rotWithShape="0">
                    <a:prstClr val="black">
                      <a:alpha val="40000"/>
                    </a:prstClr>
                  </a:outerShdw>
                </a:effectLst>
                <a:latin typeface="Georgia" panose="02040502050405020303" pitchFamily="18" charset="0"/>
              </a:rPr>
              <a:t>Safety &amp; Wellness</a:t>
            </a:r>
            <a:r>
              <a:rPr lang="en-US" sz="3200" b="1" baseline="0">
                <a:solidFill>
                  <a:schemeClr val="tx2"/>
                </a:solidFill>
                <a:effectLst>
                  <a:outerShdw blurRad="50800" dist="38100" dir="2700000" algn="tl" rotWithShape="0">
                    <a:prstClr val="black">
                      <a:alpha val="40000"/>
                    </a:prstClr>
                  </a:outerShdw>
                </a:effectLst>
                <a:latin typeface="Georgia" panose="02040502050405020303" pitchFamily="18" charset="0"/>
              </a:rPr>
              <a:t> Meeting Awareness Tracker</a:t>
            </a:r>
            <a:endParaRPr lang="en-US" sz="3200" b="1">
              <a:solidFill>
                <a:schemeClr val="tx2"/>
              </a:solidFill>
              <a:effectLst>
                <a:outerShdw blurRad="50800" dist="38100" dir="2700000" algn="tl" rotWithShape="0">
                  <a:prstClr val="black">
                    <a:alpha val="40000"/>
                  </a:prstClr>
                </a:outerShdw>
              </a:effectLst>
              <a:latin typeface="Georgia" panose="02040502050405020303" pitchFamily="18" charset="0"/>
            </a:endParaRPr>
          </a:p>
        </xdr:txBody>
      </xdr:sp>
      <xdr:grpSp>
        <xdr:nvGrpSpPr>
          <xdr:cNvPr id="41" name="Group 40">
            <a:extLst>
              <a:ext uri="{FF2B5EF4-FFF2-40B4-BE49-F238E27FC236}">
                <a16:creationId xmlns:a16="http://schemas.microsoft.com/office/drawing/2014/main" id="{62030BD6-DD1A-93B8-DEEC-0907CC41ABEC}"/>
              </a:ext>
            </a:extLst>
          </xdr:cNvPr>
          <xdr:cNvGrpSpPr/>
        </xdr:nvGrpSpPr>
        <xdr:grpSpPr>
          <a:xfrm>
            <a:off x="7600949" y="3238500"/>
            <a:ext cx="7456488" cy="4642654"/>
            <a:chOff x="7600949" y="3238500"/>
            <a:chExt cx="7456488" cy="4653237"/>
          </a:xfrm>
        </xdr:grpSpPr>
        <xdr:grpSp>
          <xdr:nvGrpSpPr>
            <xdr:cNvPr id="52" name="Group 51">
              <a:extLst>
                <a:ext uri="{FF2B5EF4-FFF2-40B4-BE49-F238E27FC236}">
                  <a16:creationId xmlns:a16="http://schemas.microsoft.com/office/drawing/2014/main" id="{B313E5AE-78DD-8A38-64CB-5B0DC93CBD45}"/>
                </a:ext>
              </a:extLst>
            </xdr:cNvPr>
            <xdr:cNvGrpSpPr/>
          </xdr:nvGrpSpPr>
          <xdr:grpSpPr>
            <a:xfrm>
              <a:off x="11399837" y="3238500"/>
              <a:ext cx="3657600" cy="2286000"/>
              <a:chOff x="12014200" y="2476500"/>
              <a:chExt cx="4546600" cy="2932724"/>
            </a:xfrm>
          </xdr:grpSpPr>
          <xdr:grpSp>
            <xdr:nvGrpSpPr>
              <xdr:cNvPr id="29" name="Group 28">
                <a:extLst>
                  <a:ext uri="{FF2B5EF4-FFF2-40B4-BE49-F238E27FC236}">
                    <a16:creationId xmlns:a16="http://schemas.microsoft.com/office/drawing/2014/main" id="{B992BFBD-1581-4BF6-EF8E-CF66E5350BB2}"/>
                  </a:ext>
                </a:extLst>
              </xdr:cNvPr>
              <xdr:cNvGrpSpPr/>
            </xdr:nvGrpSpPr>
            <xdr:grpSpPr>
              <a:xfrm>
                <a:off x="12016154" y="2734408"/>
                <a:ext cx="4542693" cy="2674816"/>
                <a:chOff x="12097238" y="2802793"/>
                <a:chExt cx="4572000" cy="2743200"/>
              </a:xfrm>
            </xdr:grpSpPr>
            <xdr:sp macro="" textlink="">
              <xdr:nvSpPr>
                <xdr:cNvPr id="25" name="Rectangle 24">
                  <a:extLst>
                    <a:ext uri="{FF2B5EF4-FFF2-40B4-BE49-F238E27FC236}">
                      <a16:creationId xmlns:a16="http://schemas.microsoft.com/office/drawing/2014/main" id="{D9B431A3-735E-184C-A616-C96E240BD671}"/>
                    </a:ext>
                  </a:extLst>
                </xdr:cNvPr>
                <xdr:cNvSpPr/>
              </xdr:nvSpPr>
              <xdr:spPr>
                <a:xfrm>
                  <a:off x="12097238" y="2802793"/>
                  <a:ext cx="4572000" cy="27432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DC05E31D-2793-8741-A77D-2EEA997D3150}"/>
                    </a:ext>
                  </a:extLst>
                </xdr:cNvPr>
                <xdr:cNvGraphicFramePr>
                  <a:graphicFrameLocks/>
                </xdr:cNvGraphicFramePr>
              </xdr:nvGraphicFramePr>
              <xdr:xfrm>
                <a:off x="12325838" y="2963008"/>
                <a:ext cx="4114800" cy="2286000"/>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44" name="Rectangle 43">
                <a:extLst>
                  <a:ext uri="{FF2B5EF4-FFF2-40B4-BE49-F238E27FC236}">
                    <a16:creationId xmlns:a16="http://schemas.microsoft.com/office/drawing/2014/main" id="{BBC6A0A1-E821-7D4A-81F4-11FD98060A60}"/>
                  </a:ext>
                </a:extLst>
              </xdr:cNvPr>
              <xdr:cNvSpPr/>
            </xdr:nvSpPr>
            <xdr:spPr>
              <a:xfrm>
                <a:off x="12014200" y="2476500"/>
                <a:ext cx="4546600" cy="435709"/>
              </a:xfrm>
              <a:prstGeom prst="rect">
                <a:avLst/>
              </a:prstGeom>
              <a:solidFill>
                <a:schemeClr val="bg1"/>
              </a:solidFill>
              <a:ln>
                <a:solidFill>
                  <a:schemeClr val="accent1">
                    <a:shade val="95000"/>
                    <a:satMod val="10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rPr>
                  <a:t>Attendance</a:t>
                </a:r>
                <a:r>
                  <a:rPr lang="en-US" sz="1400" b="1" baseline="0">
                    <a:solidFill>
                      <a:schemeClr val="tx2"/>
                    </a:solidFill>
                    <a:effectLst>
                      <a:outerShdw blurRad="50800" dist="38100" dir="2700000" algn="tl" rotWithShape="0">
                        <a:prstClr val="black">
                          <a:alpha val="40000"/>
                        </a:prstClr>
                      </a:outerShdw>
                    </a:effectLst>
                    <a:latin typeface="Georgia" panose="02040502050405020303" pitchFamily="18" charset="0"/>
                  </a:rPr>
                  <a:t> Base on Awareness Status</a:t>
                </a:r>
                <a:endPar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endParaRPr>
              </a:p>
            </xdr:txBody>
          </xdr:sp>
        </xdr:grpSp>
        <xdr:grpSp>
          <xdr:nvGrpSpPr>
            <xdr:cNvPr id="51" name="Group 50">
              <a:extLst>
                <a:ext uri="{FF2B5EF4-FFF2-40B4-BE49-F238E27FC236}">
                  <a16:creationId xmlns:a16="http://schemas.microsoft.com/office/drawing/2014/main" id="{550BE803-6545-5796-8AEC-DD9218F27D97}"/>
                </a:ext>
              </a:extLst>
            </xdr:cNvPr>
            <xdr:cNvGrpSpPr/>
          </xdr:nvGrpSpPr>
          <xdr:grpSpPr>
            <a:xfrm>
              <a:off x="7600949" y="3260725"/>
              <a:ext cx="3657600" cy="2286000"/>
              <a:chOff x="6832600" y="2489200"/>
              <a:chExt cx="4547577" cy="2904395"/>
            </a:xfrm>
          </xdr:grpSpPr>
          <xdr:grpSp>
            <xdr:nvGrpSpPr>
              <xdr:cNvPr id="26" name="Group 25">
                <a:extLst>
                  <a:ext uri="{FF2B5EF4-FFF2-40B4-BE49-F238E27FC236}">
                    <a16:creationId xmlns:a16="http://schemas.microsoft.com/office/drawing/2014/main" id="{BAA0D878-22DD-37BB-392A-690EA41B08EB}"/>
                  </a:ext>
                </a:extLst>
              </xdr:cNvPr>
              <xdr:cNvGrpSpPr/>
            </xdr:nvGrpSpPr>
            <xdr:grpSpPr>
              <a:xfrm>
                <a:off x="6832600" y="2718779"/>
                <a:ext cx="4547577" cy="2674816"/>
                <a:chOff x="6874607" y="2787164"/>
                <a:chExt cx="4572000" cy="2743200"/>
              </a:xfrm>
            </xdr:grpSpPr>
            <xdr:sp macro="" textlink="">
              <xdr:nvSpPr>
                <xdr:cNvPr id="12" name="Rectangle 11">
                  <a:extLst>
                    <a:ext uri="{FF2B5EF4-FFF2-40B4-BE49-F238E27FC236}">
                      <a16:creationId xmlns:a16="http://schemas.microsoft.com/office/drawing/2014/main" id="{829F3E36-70B4-1F47-8DD3-F81CBBD9063F}"/>
                    </a:ext>
                  </a:extLst>
                </xdr:cNvPr>
                <xdr:cNvSpPr/>
              </xdr:nvSpPr>
              <xdr:spPr>
                <a:xfrm>
                  <a:off x="6874607" y="2787164"/>
                  <a:ext cx="4572000" cy="27432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CC3B69B3-BF23-B345-8FD4-3627989F45D6}"/>
                    </a:ext>
                  </a:extLst>
                </xdr:cNvPr>
                <xdr:cNvGraphicFramePr>
                  <a:graphicFrameLocks/>
                </xdr:cNvGraphicFramePr>
              </xdr:nvGraphicFramePr>
              <xdr:xfrm>
                <a:off x="7103207" y="3014784"/>
                <a:ext cx="4114800" cy="2286000"/>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46" name="Rectangle 45">
                <a:extLst>
                  <a:ext uri="{FF2B5EF4-FFF2-40B4-BE49-F238E27FC236}">
                    <a16:creationId xmlns:a16="http://schemas.microsoft.com/office/drawing/2014/main" id="{D0E3AB1F-661C-C344-9D8A-C12657FE77BF}"/>
                  </a:ext>
                </a:extLst>
              </xdr:cNvPr>
              <xdr:cNvSpPr/>
            </xdr:nvSpPr>
            <xdr:spPr>
              <a:xfrm>
                <a:off x="6833088" y="2489200"/>
                <a:ext cx="4546600" cy="435709"/>
              </a:xfrm>
              <a:prstGeom prst="rect">
                <a:avLst/>
              </a:prstGeom>
              <a:solidFill>
                <a:schemeClr val="bg1"/>
              </a:solidFill>
              <a:ln>
                <a:solidFill>
                  <a:schemeClr val="accent1">
                    <a:shade val="95000"/>
                    <a:satMod val="10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200" b="1">
                    <a:solidFill>
                      <a:schemeClr val="tx2"/>
                    </a:solidFill>
                    <a:effectLst>
                      <a:outerShdw blurRad="50800" dist="38100" dir="2700000" algn="tl" rotWithShape="0">
                        <a:prstClr val="black">
                          <a:alpha val="40000"/>
                        </a:prstClr>
                      </a:outerShdw>
                    </a:effectLst>
                    <a:latin typeface="Georgia" panose="02040502050405020303" pitchFamily="18" charset="0"/>
                  </a:rPr>
                  <a:t>Awareness</a:t>
                </a:r>
                <a:r>
                  <a:rPr lang="en-US" sz="1200" b="1" baseline="0">
                    <a:solidFill>
                      <a:schemeClr val="tx2"/>
                    </a:solidFill>
                    <a:effectLst>
                      <a:outerShdw blurRad="50800" dist="38100" dir="2700000" algn="tl" rotWithShape="0">
                        <a:prstClr val="black">
                          <a:alpha val="40000"/>
                        </a:prstClr>
                      </a:outerShdw>
                    </a:effectLst>
                    <a:latin typeface="Georgia" panose="02040502050405020303" pitchFamily="18" charset="0"/>
                  </a:rPr>
                  <a:t> of Safety &amp; Wellness Office &amp; Meeting</a:t>
                </a:r>
                <a:endParaRPr lang="en-US" sz="1200" b="1">
                  <a:solidFill>
                    <a:schemeClr val="tx2"/>
                  </a:solidFill>
                  <a:effectLst>
                    <a:outerShdw blurRad="50800" dist="38100" dir="2700000" algn="tl" rotWithShape="0">
                      <a:prstClr val="black">
                        <a:alpha val="40000"/>
                      </a:prstClr>
                    </a:outerShdw>
                  </a:effectLst>
                  <a:latin typeface="Georgia" panose="02040502050405020303" pitchFamily="18" charset="0"/>
                </a:endParaRPr>
              </a:p>
            </xdr:txBody>
          </xdr:sp>
        </xdr:grpSp>
        <xdr:grpSp>
          <xdr:nvGrpSpPr>
            <xdr:cNvPr id="50" name="Group 49">
              <a:extLst>
                <a:ext uri="{FF2B5EF4-FFF2-40B4-BE49-F238E27FC236}">
                  <a16:creationId xmlns:a16="http://schemas.microsoft.com/office/drawing/2014/main" id="{3F00E5AE-8F4E-EA3B-7F1C-92440EE0B054}"/>
                </a:ext>
              </a:extLst>
            </xdr:cNvPr>
            <xdr:cNvGrpSpPr/>
          </xdr:nvGrpSpPr>
          <xdr:grpSpPr>
            <a:xfrm>
              <a:off x="7600949" y="5592872"/>
              <a:ext cx="3657600" cy="2286000"/>
              <a:chOff x="6769098" y="6235700"/>
              <a:chExt cx="4547577" cy="2732455"/>
            </a:xfrm>
          </xdr:grpSpPr>
          <xdr:grpSp>
            <xdr:nvGrpSpPr>
              <xdr:cNvPr id="32" name="Group 31">
                <a:extLst>
                  <a:ext uri="{FF2B5EF4-FFF2-40B4-BE49-F238E27FC236}">
                    <a16:creationId xmlns:a16="http://schemas.microsoft.com/office/drawing/2014/main" id="{AFAEC023-7FFE-3307-DE45-7E599B080ED7}"/>
                  </a:ext>
                </a:extLst>
              </xdr:cNvPr>
              <xdr:cNvGrpSpPr/>
            </xdr:nvGrpSpPr>
            <xdr:grpSpPr>
              <a:xfrm>
                <a:off x="6769098" y="6293340"/>
                <a:ext cx="4547577" cy="2674815"/>
                <a:chOff x="6833575" y="5969978"/>
                <a:chExt cx="4572000" cy="2743200"/>
              </a:xfrm>
            </xdr:grpSpPr>
            <xdr:sp macro="" textlink="">
              <xdr:nvSpPr>
                <xdr:cNvPr id="28" name="Rectangle 27">
                  <a:extLst>
                    <a:ext uri="{FF2B5EF4-FFF2-40B4-BE49-F238E27FC236}">
                      <a16:creationId xmlns:a16="http://schemas.microsoft.com/office/drawing/2014/main" id="{32298532-10A6-FE44-BAFF-91BF750E83C4}"/>
                    </a:ext>
                  </a:extLst>
                </xdr:cNvPr>
                <xdr:cNvSpPr/>
              </xdr:nvSpPr>
              <xdr:spPr>
                <a:xfrm>
                  <a:off x="6833575" y="5969978"/>
                  <a:ext cx="4572000" cy="27432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CB455C75-6EC0-D449-B36D-F29F9CE38005}"/>
                    </a:ext>
                  </a:extLst>
                </xdr:cNvPr>
                <xdr:cNvGraphicFramePr>
                  <a:graphicFrameLocks/>
                </xdr:cNvGraphicFramePr>
              </xdr:nvGraphicFramePr>
              <xdr:xfrm>
                <a:off x="7062175" y="6255238"/>
                <a:ext cx="4114800" cy="228600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47" name="Rectangle 46">
                <a:extLst>
                  <a:ext uri="{FF2B5EF4-FFF2-40B4-BE49-F238E27FC236}">
                    <a16:creationId xmlns:a16="http://schemas.microsoft.com/office/drawing/2014/main" id="{6F58DB4E-AB1E-E44F-AB96-B68B00BDB3FC}"/>
                  </a:ext>
                </a:extLst>
              </xdr:cNvPr>
              <xdr:cNvSpPr/>
            </xdr:nvSpPr>
            <xdr:spPr>
              <a:xfrm>
                <a:off x="6770075" y="6235700"/>
                <a:ext cx="4546600" cy="435709"/>
              </a:xfrm>
              <a:prstGeom prst="rect">
                <a:avLst/>
              </a:prstGeom>
              <a:solidFill>
                <a:schemeClr val="bg1"/>
              </a:solidFill>
              <a:ln>
                <a:solidFill>
                  <a:schemeClr val="accent1">
                    <a:shade val="95000"/>
                    <a:satMod val="10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rPr>
                  <a:t>Barriers</a:t>
                </a:r>
                <a:r>
                  <a:rPr lang="en-US" sz="1400" b="1" baseline="0">
                    <a:solidFill>
                      <a:schemeClr val="tx2"/>
                    </a:solidFill>
                    <a:effectLst>
                      <a:outerShdw blurRad="50800" dist="38100" dir="2700000" algn="tl" rotWithShape="0">
                        <a:prstClr val="black">
                          <a:alpha val="40000"/>
                        </a:prstClr>
                      </a:outerShdw>
                    </a:effectLst>
                    <a:latin typeface="Georgia" panose="02040502050405020303" pitchFamily="18" charset="0"/>
                  </a:rPr>
                  <a:t> to Attendance</a:t>
                </a:r>
                <a:endPar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endParaRPr>
              </a:p>
            </xdr:txBody>
          </xdr:sp>
        </xdr:grpSp>
        <xdr:grpSp>
          <xdr:nvGrpSpPr>
            <xdr:cNvPr id="49" name="Group 48">
              <a:extLst>
                <a:ext uri="{FF2B5EF4-FFF2-40B4-BE49-F238E27FC236}">
                  <a16:creationId xmlns:a16="http://schemas.microsoft.com/office/drawing/2014/main" id="{C798C73E-0C9A-D38F-1C36-74C33A92FDB9}"/>
                </a:ext>
              </a:extLst>
            </xdr:cNvPr>
            <xdr:cNvGrpSpPr/>
          </xdr:nvGrpSpPr>
          <xdr:grpSpPr>
            <a:xfrm>
              <a:off x="11399837" y="5605737"/>
              <a:ext cx="3657600" cy="2286000"/>
              <a:chOff x="12103100" y="5511801"/>
              <a:chExt cx="4546600" cy="2751014"/>
            </a:xfrm>
          </xdr:grpSpPr>
          <xdr:grpSp>
            <xdr:nvGrpSpPr>
              <xdr:cNvPr id="33" name="Group 32">
                <a:extLst>
                  <a:ext uri="{FF2B5EF4-FFF2-40B4-BE49-F238E27FC236}">
                    <a16:creationId xmlns:a16="http://schemas.microsoft.com/office/drawing/2014/main" id="{16AF7324-FEC2-BB53-8B05-525D296E1634}"/>
                  </a:ext>
                </a:extLst>
              </xdr:cNvPr>
              <xdr:cNvGrpSpPr/>
            </xdr:nvGrpSpPr>
            <xdr:grpSpPr>
              <a:xfrm>
                <a:off x="12107006" y="5588000"/>
                <a:ext cx="4542693" cy="2674815"/>
                <a:chOff x="12171483" y="6110657"/>
                <a:chExt cx="4572000" cy="2743200"/>
              </a:xfrm>
            </xdr:grpSpPr>
            <xdr:sp macro="" textlink="">
              <xdr:nvSpPr>
                <xdr:cNvPr id="27" name="Rectangle 26">
                  <a:extLst>
                    <a:ext uri="{FF2B5EF4-FFF2-40B4-BE49-F238E27FC236}">
                      <a16:creationId xmlns:a16="http://schemas.microsoft.com/office/drawing/2014/main" id="{A8175F26-4844-DB4D-90AD-BE3F1BC0F9E8}"/>
                    </a:ext>
                  </a:extLst>
                </xdr:cNvPr>
                <xdr:cNvSpPr/>
              </xdr:nvSpPr>
              <xdr:spPr>
                <a:xfrm>
                  <a:off x="12171483" y="6110657"/>
                  <a:ext cx="4572000" cy="27432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F1025D88-C697-6349-9860-911504111690}"/>
                    </a:ext>
                  </a:extLst>
                </xdr:cNvPr>
                <xdr:cNvGraphicFramePr>
                  <a:graphicFrameLocks/>
                </xdr:cNvGraphicFramePr>
              </xdr:nvGraphicFramePr>
              <xdr:xfrm>
                <a:off x="12400083" y="6384843"/>
                <a:ext cx="4114800" cy="228600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48" name="Rectangle 47">
                <a:extLst>
                  <a:ext uri="{FF2B5EF4-FFF2-40B4-BE49-F238E27FC236}">
                    <a16:creationId xmlns:a16="http://schemas.microsoft.com/office/drawing/2014/main" id="{59E8F8C7-E434-264A-9605-B63872D4E986}"/>
                  </a:ext>
                </a:extLst>
              </xdr:cNvPr>
              <xdr:cNvSpPr/>
            </xdr:nvSpPr>
            <xdr:spPr>
              <a:xfrm>
                <a:off x="12103100" y="5511801"/>
                <a:ext cx="4546600" cy="435709"/>
              </a:xfrm>
              <a:prstGeom prst="rect">
                <a:avLst/>
              </a:prstGeom>
              <a:solidFill>
                <a:schemeClr val="bg1"/>
              </a:solidFill>
              <a:ln>
                <a:solidFill>
                  <a:schemeClr val="accent1">
                    <a:shade val="95000"/>
                    <a:satMod val="105000"/>
                  </a:schemeClr>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rPr>
                  <a:t>Interest in Future</a:t>
                </a:r>
                <a:r>
                  <a:rPr lang="en-US" sz="1400" b="1" baseline="0">
                    <a:solidFill>
                      <a:schemeClr val="tx2"/>
                    </a:solidFill>
                    <a:effectLst>
                      <a:outerShdw blurRad="50800" dist="38100" dir="2700000" algn="tl" rotWithShape="0">
                        <a:prstClr val="black">
                          <a:alpha val="40000"/>
                        </a:prstClr>
                      </a:outerShdw>
                    </a:effectLst>
                    <a:latin typeface="Georgia" panose="02040502050405020303" pitchFamily="18" charset="0"/>
                  </a:rPr>
                  <a:t> Meetings</a:t>
                </a:r>
                <a:endParaRPr lang="en-US" sz="1400" b="1">
                  <a:solidFill>
                    <a:schemeClr val="tx2"/>
                  </a:solidFill>
                  <a:effectLst>
                    <a:outerShdw blurRad="50800" dist="38100" dir="2700000" algn="tl" rotWithShape="0">
                      <a:prstClr val="black">
                        <a:alpha val="40000"/>
                      </a:prstClr>
                    </a:outerShdw>
                  </a:effectLst>
                  <a:latin typeface="Georgia" panose="02040502050405020303" pitchFamily="18" charset="0"/>
                </a:endParaRPr>
              </a:p>
            </xdr:txBody>
          </xdr:sp>
        </xdr:grpSp>
      </xdr:grpSp>
      <xdr:grpSp>
        <xdr:nvGrpSpPr>
          <xdr:cNvPr id="43" name="Group 42">
            <a:extLst>
              <a:ext uri="{FF2B5EF4-FFF2-40B4-BE49-F238E27FC236}">
                <a16:creationId xmlns:a16="http://schemas.microsoft.com/office/drawing/2014/main" id="{31CAAF0D-419F-FD9F-EA1F-094AB36BE4DD}"/>
              </a:ext>
            </a:extLst>
          </xdr:cNvPr>
          <xdr:cNvGrpSpPr/>
        </xdr:nvGrpSpPr>
        <xdr:grpSpPr>
          <a:xfrm>
            <a:off x="6450411" y="2443162"/>
            <a:ext cx="10491705" cy="742951"/>
            <a:chOff x="6450411" y="2443162"/>
            <a:chExt cx="10491705" cy="742951"/>
          </a:xfrm>
        </xdr:grpSpPr>
        <xdr:grpSp>
          <xdr:nvGrpSpPr>
            <xdr:cNvPr id="10" name="Group 9">
              <a:extLst>
                <a:ext uri="{FF2B5EF4-FFF2-40B4-BE49-F238E27FC236}">
                  <a16:creationId xmlns:a16="http://schemas.microsoft.com/office/drawing/2014/main" id="{1FFCB345-23AF-F412-80FC-F1360FF5B702}"/>
                </a:ext>
              </a:extLst>
            </xdr:cNvPr>
            <xdr:cNvGrpSpPr/>
          </xdr:nvGrpSpPr>
          <xdr:grpSpPr>
            <a:xfrm>
              <a:off x="6450411" y="2443162"/>
              <a:ext cx="2011679" cy="733425"/>
              <a:chOff x="3423683" y="1619250"/>
              <a:chExt cx="1419225" cy="733425"/>
            </a:xfrm>
          </xdr:grpSpPr>
          <xdr:sp macro="" textlink="'Pivot table'!A11">
            <xdr:nvSpPr>
              <xdr:cNvPr id="39" name="Rectangle 38">
                <a:extLst>
                  <a:ext uri="{FF2B5EF4-FFF2-40B4-BE49-F238E27FC236}">
                    <a16:creationId xmlns:a16="http://schemas.microsoft.com/office/drawing/2014/main" id="{69020B49-4BB1-5F49-9A51-A600A46B9EFC}"/>
                  </a:ext>
                </a:extLst>
              </xdr:cNvPr>
              <xdr:cNvSpPr/>
            </xdr:nvSpPr>
            <xdr:spPr>
              <a:xfrm>
                <a:off x="3423683" y="1619250"/>
                <a:ext cx="1419225" cy="733425"/>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algn="ctr"/>
                <a:fld id="{26D84549-151B-4A06-B45E-B82E8133FC29}" type="TxLink">
                  <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pPr algn="ctr"/>
                  <a:t>95</a:t>
                </a:fld>
                <a:endParaRPr lang="en-US" sz="320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sp macro="" textlink="">
            <xdr:nvSpPr>
              <xdr:cNvPr id="9" name="TextBox 8">
                <a:extLst>
                  <a:ext uri="{FF2B5EF4-FFF2-40B4-BE49-F238E27FC236}">
                    <a16:creationId xmlns:a16="http://schemas.microsoft.com/office/drawing/2014/main" id="{0E0001F6-8784-C554-E14D-7A80EEE1D6D8}"/>
                  </a:ext>
                </a:extLst>
              </xdr:cNvPr>
              <xdr:cNvSpPr txBox="1"/>
            </xdr:nvSpPr>
            <xdr:spPr>
              <a:xfrm>
                <a:off x="3423683" y="1619250"/>
                <a:ext cx="1419225" cy="3657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Total</a:t>
                </a:r>
                <a:r>
                  <a:rPr lang="en-US" sz="900" b="1">
                    <a:solidFill>
                      <a:schemeClr val="bg1"/>
                    </a:solidFill>
                    <a:effectLst>
                      <a:outerShdw blurRad="50800" dist="38100" dir="2700000" algn="tl" rotWithShape="0">
                        <a:schemeClr val="bg1">
                          <a:alpha val="40000"/>
                        </a:schemeClr>
                      </a:outerShdw>
                    </a:effectLst>
                    <a:latin typeface="Georgia" panose="02040502050405020303" pitchFamily="18" charset="0"/>
                  </a:rPr>
                  <a:t> </a:t>
                </a: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ea typeface="+mn-ea"/>
                    <a:cs typeface="+mn-cs"/>
                  </a:rPr>
                  <a:t>Respondents</a:t>
                </a:r>
                <a:endParaRPr lang="en-US" sz="1000" b="1">
                  <a:solidFill>
                    <a:schemeClr val="bg1"/>
                  </a:solidFill>
                  <a:effectLst>
                    <a:outerShdw blurRad="50800" dist="38100" dir="2700000" algn="tl" rotWithShape="0">
                      <a:schemeClr val="bg1">
                        <a:alpha val="40000"/>
                      </a:schemeClr>
                    </a:outerShdw>
                  </a:effectLst>
                  <a:latin typeface="Georgia" panose="02040502050405020303" pitchFamily="18" charset="0"/>
                  <a:ea typeface="+mn-ea"/>
                  <a:cs typeface="+mn-cs"/>
                </a:endParaRPr>
              </a:p>
            </xdr:txBody>
          </xdr:sp>
        </xdr:grpSp>
        <xdr:grpSp>
          <xdr:nvGrpSpPr>
            <xdr:cNvPr id="24" name="Group 23">
              <a:extLst>
                <a:ext uri="{FF2B5EF4-FFF2-40B4-BE49-F238E27FC236}">
                  <a16:creationId xmlns:a16="http://schemas.microsoft.com/office/drawing/2014/main" id="{AB0A007F-6168-5C94-EF97-894A2CAD420D}"/>
                </a:ext>
              </a:extLst>
            </xdr:cNvPr>
            <xdr:cNvGrpSpPr/>
          </xdr:nvGrpSpPr>
          <xdr:grpSpPr>
            <a:xfrm>
              <a:off x="8558212" y="2443162"/>
              <a:ext cx="2011680" cy="733425"/>
              <a:chOff x="5186362" y="1666875"/>
              <a:chExt cx="2011680" cy="733425"/>
            </a:xfrm>
          </xdr:grpSpPr>
          <xdr:sp macro="" textlink="'Pivot table'!C11">
            <xdr:nvSpPr>
              <xdr:cNvPr id="13" name="Rectangle 12">
                <a:extLst>
                  <a:ext uri="{FF2B5EF4-FFF2-40B4-BE49-F238E27FC236}">
                    <a16:creationId xmlns:a16="http://schemas.microsoft.com/office/drawing/2014/main" id="{5819F251-A624-407B-8401-E825C51416E6}"/>
                  </a:ext>
                </a:extLst>
              </xdr:cNvPr>
              <xdr:cNvSpPr/>
            </xdr:nvSpPr>
            <xdr:spPr>
              <a:xfrm>
                <a:off x="5186362" y="1666875"/>
                <a:ext cx="2011680" cy="733425"/>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marL="0" indent="0" algn="ctr"/>
                <a:fld id="{F6991CA1-45FA-4D60-A44D-DD6051D77B0D}" type="TxLink">
                  <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pPr marL="0" indent="0" algn="ctr"/>
                  <a:t>74%</a:t>
                </a:fld>
                <a:endPar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endParaRPr>
              </a:p>
            </xdr:txBody>
          </xdr:sp>
          <xdr:sp macro="" textlink="">
            <xdr:nvSpPr>
              <xdr:cNvPr id="15" name="TextBox 14">
                <a:extLst>
                  <a:ext uri="{FF2B5EF4-FFF2-40B4-BE49-F238E27FC236}">
                    <a16:creationId xmlns:a16="http://schemas.microsoft.com/office/drawing/2014/main" id="{605C40B7-C584-432A-99D5-BBC7B70964E8}"/>
                  </a:ext>
                </a:extLst>
              </xdr:cNvPr>
              <xdr:cNvSpPr txBox="1"/>
            </xdr:nvSpPr>
            <xdr:spPr>
              <a:xfrm>
                <a:off x="5186362" y="1676400"/>
                <a:ext cx="2011680" cy="310243"/>
              </a:xfrm>
              <a:prstGeom prst="rect">
                <a:avLst/>
              </a:prstGeom>
              <a:solidFill>
                <a:schemeClr val="tx2"/>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Aware of</a:t>
                </a:r>
                <a:r>
                  <a:rPr lang="en-US" sz="1050" b="1" baseline="0">
                    <a:solidFill>
                      <a:schemeClr val="bg1"/>
                    </a:solidFill>
                    <a:effectLst>
                      <a:outerShdw blurRad="50800" dist="38100" dir="2700000" algn="tl" rotWithShape="0">
                        <a:schemeClr val="bg1">
                          <a:alpha val="40000"/>
                        </a:schemeClr>
                      </a:outerShdw>
                    </a:effectLst>
                    <a:latin typeface="Georgia" panose="02040502050405020303" pitchFamily="18" charset="0"/>
                  </a:rPr>
                  <a:t> </a:t>
                </a: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Office</a:t>
                </a:r>
              </a:p>
            </xdr:txBody>
          </xdr:sp>
        </xdr:grpSp>
        <xdr:grpSp>
          <xdr:nvGrpSpPr>
            <xdr:cNvPr id="22" name="Group 21">
              <a:extLst>
                <a:ext uri="{FF2B5EF4-FFF2-40B4-BE49-F238E27FC236}">
                  <a16:creationId xmlns:a16="http://schemas.microsoft.com/office/drawing/2014/main" id="{4A73ADE3-A05B-46B2-AC90-9A777634D63A}"/>
                </a:ext>
              </a:extLst>
            </xdr:cNvPr>
            <xdr:cNvGrpSpPr/>
          </xdr:nvGrpSpPr>
          <xdr:grpSpPr>
            <a:xfrm>
              <a:off x="12815886" y="2452688"/>
              <a:ext cx="2011680" cy="733425"/>
              <a:chOff x="10348911" y="1409700"/>
              <a:chExt cx="2011680" cy="733425"/>
            </a:xfrm>
          </xdr:grpSpPr>
          <xdr:sp macro="" textlink="'Pivot table'!K11">
            <xdr:nvSpPr>
              <xdr:cNvPr id="16" name="Rectangle 15">
                <a:extLst>
                  <a:ext uri="{FF2B5EF4-FFF2-40B4-BE49-F238E27FC236}">
                    <a16:creationId xmlns:a16="http://schemas.microsoft.com/office/drawing/2014/main" id="{3B25233A-2C4C-84FE-20C3-1CF64337F6AC}"/>
                  </a:ext>
                </a:extLst>
              </xdr:cNvPr>
              <xdr:cNvSpPr/>
            </xdr:nvSpPr>
            <xdr:spPr>
              <a:xfrm>
                <a:off x="10348911" y="1409700"/>
                <a:ext cx="2011680" cy="733425"/>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marL="0" indent="0" algn="ctr"/>
                <a:fld id="{525CD987-A694-48FE-89A1-8AF73B1B1438}" type="TxLink">
                  <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pPr marL="0" indent="0" algn="ctr"/>
                  <a:t>31%</a:t>
                </a:fld>
                <a:endPar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endParaRPr>
              </a:p>
            </xdr:txBody>
          </xdr:sp>
          <xdr:sp macro="" textlink="">
            <xdr:nvSpPr>
              <xdr:cNvPr id="18" name="TextBox 17">
                <a:extLst>
                  <a:ext uri="{FF2B5EF4-FFF2-40B4-BE49-F238E27FC236}">
                    <a16:creationId xmlns:a16="http://schemas.microsoft.com/office/drawing/2014/main" id="{D446942B-4697-40D4-8855-D907BC325F7A}"/>
                  </a:ext>
                </a:extLst>
              </xdr:cNvPr>
              <xdr:cNvSpPr txBox="1"/>
            </xdr:nvSpPr>
            <xdr:spPr>
              <a:xfrm>
                <a:off x="10348911" y="1409700"/>
                <a:ext cx="2011680" cy="3657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Past 3yrs </a:t>
                </a:r>
                <a:r>
                  <a:rPr lang="en-US" sz="1100" b="1">
                    <a:solidFill>
                      <a:schemeClr val="bg1"/>
                    </a:solidFill>
                    <a:effectLst>
                      <a:outerShdw blurRad="50800" dist="38100" dir="2700000" algn="tl" rotWithShape="0">
                        <a:schemeClr val="bg1">
                          <a:alpha val="40000"/>
                        </a:schemeClr>
                      </a:outerShdw>
                    </a:effectLst>
                    <a:latin typeface="Georgia" panose="02040502050405020303" pitchFamily="18" charset="0"/>
                  </a:rPr>
                  <a:t>Attendance</a:t>
                </a:r>
                <a:endPar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grpSp>
        <xdr:grpSp>
          <xdr:nvGrpSpPr>
            <xdr:cNvPr id="21" name="Group 20">
              <a:extLst>
                <a:ext uri="{FF2B5EF4-FFF2-40B4-BE49-F238E27FC236}">
                  <a16:creationId xmlns:a16="http://schemas.microsoft.com/office/drawing/2014/main" id="{C525ECD6-06A9-82F3-1DE4-843FECF415C9}"/>
                </a:ext>
              </a:extLst>
            </xdr:cNvPr>
            <xdr:cNvGrpSpPr/>
          </xdr:nvGrpSpPr>
          <xdr:grpSpPr>
            <a:xfrm>
              <a:off x="10682286" y="2443162"/>
              <a:ext cx="2011680" cy="733425"/>
              <a:chOff x="7891461" y="1419225"/>
              <a:chExt cx="2011680" cy="733425"/>
            </a:xfrm>
          </xdr:grpSpPr>
          <xdr:sp macro="" textlink="'Pivot table'!G11">
            <xdr:nvSpPr>
              <xdr:cNvPr id="14" name="Rectangle 13">
                <a:extLst>
                  <a:ext uri="{FF2B5EF4-FFF2-40B4-BE49-F238E27FC236}">
                    <a16:creationId xmlns:a16="http://schemas.microsoft.com/office/drawing/2014/main" id="{20579925-49E6-4A65-ABB9-D6C3E99AD682}"/>
                  </a:ext>
                </a:extLst>
              </xdr:cNvPr>
              <xdr:cNvSpPr/>
            </xdr:nvSpPr>
            <xdr:spPr>
              <a:xfrm>
                <a:off x="7891461" y="1419225"/>
                <a:ext cx="2011680" cy="733425"/>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marL="0" indent="0" algn="ctr"/>
                <a:fld id="{9E288DD3-5AB0-4382-9BDE-3592B3AFB269}" type="TxLink">
                  <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pPr marL="0" indent="0" algn="ctr"/>
                  <a:t>60%</a:t>
                </a:fld>
                <a:endPar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endParaRPr>
              </a:p>
            </xdr:txBody>
          </xdr:sp>
          <xdr:sp macro="" textlink="">
            <xdr:nvSpPr>
              <xdr:cNvPr id="19" name="TextBox 18">
                <a:extLst>
                  <a:ext uri="{FF2B5EF4-FFF2-40B4-BE49-F238E27FC236}">
                    <a16:creationId xmlns:a16="http://schemas.microsoft.com/office/drawing/2014/main" id="{8AEB5D82-4AF4-4000-9212-605835F173BB}"/>
                  </a:ext>
                </a:extLst>
              </xdr:cNvPr>
              <xdr:cNvSpPr txBox="1"/>
            </xdr:nvSpPr>
            <xdr:spPr>
              <a:xfrm>
                <a:off x="7891461" y="1428750"/>
                <a:ext cx="2011680" cy="326571"/>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Aware of </a:t>
                </a:r>
                <a:r>
                  <a:rPr lang="en-US" sz="1050" b="1" baseline="0">
                    <a:solidFill>
                      <a:schemeClr val="bg1"/>
                    </a:solidFill>
                    <a:effectLst>
                      <a:outerShdw blurRad="50800" dist="38100" dir="2700000" algn="tl" rotWithShape="0">
                        <a:schemeClr val="bg1">
                          <a:alpha val="40000"/>
                        </a:schemeClr>
                      </a:outerShdw>
                    </a:effectLst>
                    <a:latin typeface="Georgia" panose="02040502050405020303" pitchFamily="18" charset="0"/>
                  </a:rPr>
                  <a:t>Meeting</a:t>
                </a:r>
                <a:endPar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grpSp>
        <xdr:grpSp>
          <xdr:nvGrpSpPr>
            <xdr:cNvPr id="23" name="Group 22">
              <a:extLst>
                <a:ext uri="{FF2B5EF4-FFF2-40B4-BE49-F238E27FC236}">
                  <a16:creationId xmlns:a16="http://schemas.microsoft.com/office/drawing/2014/main" id="{AAE6BB46-F010-C52B-D671-21ED1ED7D78D}"/>
                </a:ext>
              </a:extLst>
            </xdr:cNvPr>
            <xdr:cNvGrpSpPr/>
          </xdr:nvGrpSpPr>
          <xdr:grpSpPr>
            <a:xfrm>
              <a:off x="14930436" y="2443162"/>
              <a:ext cx="2011680" cy="733425"/>
              <a:chOff x="12520611" y="1419225"/>
              <a:chExt cx="2011680" cy="733425"/>
            </a:xfrm>
          </xdr:grpSpPr>
          <xdr:sp macro="" textlink="'Pivot table'!N11">
            <xdr:nvSpPr>
              <xdr:cNvPr id="17" name="Rectangle 16">
                <a:extLst>
                  <a:ext uri="{FF2B5EF4-FFF2-40B4-BE49-F238E27FC236}">
                    <a16:creationId xmlns:a16="http://schemas.microsoft.com/office/drawing/2014/main" id="{D49A1C09-9A22-DDC0-1888-F9E6277124DE}"/>
                  </a:ext>
                </a:extLst>
              </xdr:cNvPr>
              <xdr:cNvSpPr/>
            </xdr:nvSpPr>
            <xdr:spPr>
              <a:xfrm>
                <a:off x="12520611" y="1419225"/>
                <a:ext cx="2011680" cy="733425"/>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marL="0" indent="0" algn="ctr"/>
                <a:fld id="{63D86484-7B82-4B72-92F6-15BBEDC622BC}" type="TxLink">
                  <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pPr marL="0" indent="0" algn="ctr"/>
                  <a:t>69%</a:t>
                </a:fld>
                <a:endParaRPr lang="en-US" sz="2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endParaRPr>
              </a:p>
            </xdr:txBody>
          </xdr:sp>
          <xdr:sp macro="" textlink="">
            <xdr:nvSpPr>
              <xdr:cNvPr id="20" name="TextBox 19">
                <a:extLst>
                  <a:ext uri="{FF2B5EF4-FFF2-40B4-BE49-F238E27FC236}">
                    <a16:creationId xmlns:a16="http://schemas.microsoft.com/office/drawing/2014/main" id="{FDF501E0-EBE4-42E1-97A5-672FEC11A832}"/>
                  </a:ext>
                </a:extLst>
              </xdr:cNvPr>
              <xdr:cNvSpPr txBox="1"/>
            </xdr:nvSpPr>
            <xdr:spPr>
              <a:xfrm>
                <a:off x="12520611" y="1419225"/>
                <a:ext cx="2011680" cy="3657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rPr>
                  <a:t>Interest</a:t>
                </a:r>
                <a:r>
                  <a:rPr lang="en-US" sz="1050" b="1" baseline="0">
                    <a:solidFill>
                      <a:schemeClr val="bg1"/>
                    </a:solidFill>
                    <a:effectLst>
                      <a:outerShdw blurRad="50800" dist="38100" dir="2700000" algn="tl" rotWithShape="0">
                        <a:schemeClr val="bg1">
                          <a:alpha val="40000"/>
                        </a:schemeClr>
                      </a:outerShdw>
                    </a:effectLst>
                    <a:latin typeface="Georgia" panose="02040502050405020303" pitchFamily="18" charset="0"/>
                  </a:rPr>
                  <a:t> in </a:t>
                </a:r>
                <a:r>
                  <a:rPr lang="en-US" sz="1100" b="1" baseline="0">
                    <a:solidFill>
                      <a:schemeClr val="bg1"/>
                    </a:solidFill>
                    <a:effectLst>
                      <a:outerShdw blurRad="50800" dist="38100" dir="2700000" algn="tl" rotWithShape="0">
                        <a:schemeClr val="bg1">
                          <a:alpha val="40000"/>
                        </a:schemeClr>
                      </a:outerShdw>
                    </a:effectLst>
                    <a:latin typeface="Georgia" panose="02040502050405020303" pitchFamily="18" charset="0"/>
                  </a:rPr>
                  <a:t>Future</a:t>
                </a:r>
                <a:r>
                  <a:rPr lang="en-US" sz="1050" b="1" baseline="0">
                    <a:solidFill>
                      <a:schemeClr val="bg1"/>
                    </a:solidFill>
                    <a:effectLst>
                      <a:outerShdw blurRad="50800" dist="38100" dir="2700000" algn="tl" rotWithShape="0">
                        <a:schemeClr val="bg1">
                          <a:alpha val="40000"/>
                        </a:schemeClr>
                      </a:outerShdw>
                    </a:effectLst>
                    <a:latin typeface="Georgia" panose="02040502050405020303" pitchFamily="18" charset="0"/>
                  </a:rPr>
                  <a:t> Meetings</a:t>
                </a:r>
                <a:endParaRPr lang="en-US" sz="105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grpSp>
      </xdr:grpSp>
    </xdr:grpSp>
    <xdr:clientData/>
  </xdr:twoCellAnchor>
  <xdr:twoCellAnchor>
    <xdr:from>
      <xdr:col>19</xdr:col>
      <xdr:colOff>761999</xdr:colOff>
      <xdr:row>17</xdr:row>
      <xdr:rowOff>190500</xdr:rowOff>
    </xdr:from>
    <xdr:to>
      <xdr:col>22</xdr:col>
      <xdr:colOff>25400</xdr:colOff>
      <xdr:row>19</xdr:row>
      <xdr:rowOff>0</xdr:rowOff>
    </xdr:to>
    <xdr:sp macro="" textlink="'Pivot table'!A11">
      <xdr:nvSpPr>
        <xdr:cNvPr id="53" name="Rectangle 52">
          <a:extLst>
            <a:ext uri="{FF2B5EF4-FFF2-40B4-BE49-F238E27FC236}">
              <a16:creationId xmlns:a16="http://schemas.microsoft.com/office/drawing/2014/main" id="{F1F10152-0184-0049-8306-45DCAC385301}"/>
            </a:ext>
          </a:extLst>
        </xdr:cNvPr>
        <xdr:cNvSpPr/>
      </xdr:nvSpPr>
      <xdr:spPr>
        <a:xfrm>
          <a:off x="17411699" y="3505200"/>
          <a:ext cx="3073401" cy="342900"/>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algn="ctr"/>
          <a:r>
            <a:rPr lang="en-US" sz="1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ea typeface="Calibri"/>
              <a:cs typeface="Calibri"/>
            </a:rPr>
            <a:t>Respondents by Department</a:t>
          </a:r>
          <a:endParaRPr lang="en-US" sz="180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clientData/>
  </xdr:twoCellAnchor>
  <xdr:twoCellAnchor>
    <xdr:from>
      <xdr:col>19</xdr:col>
      <xdr:colOff>774699</xdr:colOff>
      <xdr:row>32</xdr:row>
      <xdr:rowOff>38099</xdr:rowOff>
    </xdr:from>
    <xdr:to>
      <xdr:col>22</xdr:col>
      <xdr:colOff>76200</xdr:colOff>
      <xdr:row>33</xdr:row>
      <xdr:rowOff>190500</xdr:rowOff>
    </xdr:to>
    <xdr:sp macro="" textlink="'Pivot table'!A11">
      <xdr:nvSpPr>
        <xdr:cNvPr id="54" name="Rectangle 53">
          <a:extLst>
            <a:ext uri="{FF2B5EF4-FFF2-40B4-BE49-F238E27FC236}">
              <a16:creationId xmlns:a16="http://schemas.microsoft.com/office/drawing/2014/main" id="{568A1CBC-C3A8-E79E-1D4E-A43EBCA58710}"/>
            </a:ext>
          </a:extLst>
        </xdr:cNvPr>
        <xdr:cNvSpPr/>
      </xdr:nvSpPr>
      <xdr:spPr>
        <a:xfrm>
          <a:off x="17424399" y="6502399"/>
          <a:ext cx="3111501" cy="342901"/>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algn="ctr"/>
          <a:r>
            <a:rPr lang="en-US" sz="1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cs typeface="Calibri"/>
            </a:rPr>
            <a:t>Attendance</a:t>
          </a:r>
          <a:r>
            <a:rPr lang="en-US" sz="1400" b="1" i="0" u="none" strike="noStrike" baseline="0">
              <a:solidFill>
                <a:schemeClr val="bg1"/>
              </a:solidFill>
              <a:effectLst>
                <a:outerShdw blurRad="50800" dist="38100" dir="2700000" algn="tl" rotWithShape="0">
                  <a:schemeClr val="bg1">
                    <a:alpha val="40000"/>
                  </a:schemeClr>
                </a:outerShdw>
              </a:effectLst>
              <a:latin typeface="Georgia" panose="02040502050405020303" pitchFamily="18" charset="0"/>
              <a:cs typeface="Calibri"/>
            </a:rPr>
            <a:t> Status</a:t>
          </a:r>
          <a:endParaRPr lang="en-US" sz="180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clientData/>
  </xdr:twoCellAnchor>
  <xdr:twoCellAnchor>
    <xdr:from>
      <xdr:col>19</xdr:col>
      <xdr:colOff>812799</xdr:colOff>
      <xdr:row>25</xdr:row>
      <xdr:rowOff>152399</xdr:rowOff>
    </xdr:from>
    <xdr:to>
      <xdr:col>22</xdr:col>
      <xdr:colOff>114300</xdr:colOff>
      <xdr:row>26</xdr:row>
      <xdr:rowOff>254000</xdr:rowOff>
    </xdr:to>
    <xdr:sp macro="" textlink="'Pivot table'!A11">
      <xdr:nvSpPr>
        <xdr:cNvPr id="55" name="Rectangle 54">
          <a:extLst>
            <a:ext uri="{FF2B5EF4-FFF2-40B4-BE49-F238E27FC236}">
              <a16:creationId xmlns:a16="http://schemas.microsoft.com/office/drawing/2014/main" id="{8EEBF3C0-19FD-CB9A-BD14-54A30C1C28B4}"/>
            </a:ext>
          </a:extLst>
        </xdr:cNvPr>
        <xdr:cNvSpPr/>
      </xdr:nvSpPr>
      <xdr:spPr>
        <a:xfrm>
          <a:off x="17462499" y="4952999"/>
          <a:ext cx="3111501" cy="342901"/>
        </a:xfrm>
        <a:prstGeom prst="rect">
          <a:avLst/>
        </a:prstGeom>
        <a:solidFill>
          <a:schemeClr val="tx2"/>
        </a:solidFill>
        <a:ln>
          <a:solidFill>
            <a:schemeClr val="bg1"/>
          </a:solidFill>
        </a:ln>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b"/>
        <a:lstStyle/>
        <a:p>
          <a:pPr algn="ctr"/>
          <a:r>
            <a:rPr lang="en-US" sz="1400" b="1" i="0" u="none" strike="noStrike">
              <a:solidFill>
                <a:schemeClr val="bg1"/>
              </a:solidFill>
              <a:effectLst>
                <a:outerShdw blurRad="50800" dist="38100" dir="2700000" algn="tl" rotWithShape="0">
                  <a:schemeClr val="bg1">
                    <a:alpha val="40000"/>
                  </a:schemeClr>
                </a:outerShdw>
              </a:effectLst>
              <a:latin typeface="Georgia" panose="02040502050405020303" pitchFamily="18" charset="0"/>
              <a:cs typeface="Calibri"/>
            </a:rPr>
            <a:t>Awareness</a:t>
          </a:r>
          <a:r>
            <a:rPr lang="en-US" sz="1400" b="1" i="0" u="none" strike="noStrike" baseline="0">
              <a:solidFill>
                <a:schemeClr val="bg1"/>
              </a:solidFill>
              <a:effectLst>
                <a:outerShdw blurRad="50800" dist="38100" dir="2700000" algn="tl" rotWithShape="0">
                  <a:schemeClr val="bg1">
                    <a:alpha val="40000"/>
                  </a:schemeClr>
                </a:outerShdw>
              </a:effectLst>
              <a:latin typeface="Georgia" panose="02040502050405020303" pitchFamily="18" charset="0"/>
              <a:cs typeface="Calibri"/>
            </a:rPr>
            <a:t> Status</a:t>
          </a:r>
          <a:endParaRPr lang="en-US" sz="1800" b="1">
            <a:solidFill>
              <a:schemeClr val="bg1"/>
            </a:solidFill>
            <a:effectLst>
              <a:outerShdw blurRad="50800" dist="38100" dir="2700000" algn="tl" rotWithShape="0">
                <a:schemeClr val="bg1">
                  <a:alpha val="40000"/>
                </a:schemeClr>
              </a:outerShdw>
            </a:effectLst>
            <a:latin typeface="Georgia" panose="020405020504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eb Kadiri" refreshedDate="46063.043732638886" createdVersion="8" refreshedVersion="8" minRefreshableVersion="3" recordCount="95" xr:uid="{D1060C99-578E-4846-BAA2-634B4EAAC5C4}">
  <cacheSource type="worksheet">
    <worksheetSource name="Table"/>
  </cacheSource>
  <cacheFields count="17">
    <cacheField name="ID" numFmtId="0">
      <sharedItems containsSemiMixedTypes="0" containsString="0" containsNumber="1" containsInteger="1" minValue="1" maxValue="95"/>
    </cacheField>
    <cacheField name="Staff Name" numFmtId="0">
      <sharedItems count="95">
        <s v="Staff_021"/>
        <s v="Staff_041"/>
        <s v="Staff_043"/>
        <s v="Staff_044"/>
        <s v="Staff_056"/>
        <s v="Staff_065"/>
        <s v="Staff_080"/>
        <s v="Staff_086"/>
        <s v="Staff_003"/>
        <s v="Staff_006"/>
        <s v="Staff_008"/>
        <s v="Staff_009"/>
        <s v="Staff_018"/>
        <s v="Staff_020"/>
        <s v="Staff_026"/>
        <s v="Staff_027"/>
        <s v="Staff_028"/>
        <s v="Staff_032"/>
        <s v="Staff_038"/>
        <s v="Staff_042"/>
        <s v="Staff_048"/>
        <s v="Staff_051"/>
        <s v="Staff_062"/>
        <s v="Staff_063"/>
        <s v="Staff_077"/>
        <s v="Staff_078"/>
        <s v="Staff_079"/>
        <s v="Staff_081"/>
        <s v="Staff_083"/>
        <s v="Staff_088"/>
        <s v="Staff_089"/>
        <s v="Staff_095"/>
        <s v="Staff_002"/>
        <s v="Staff_004"/>
        <s v="Staff_010"/>
        <s v="Staff_011"/>
        <s v="Staff_015"/>
        <s v="Staff_016"/>
        <s v="Staff_019"/>
        <s v="Staff_025"/>
        <s v="Staff_029"/>
        <s v="Staff_037"/>
        <s v="Staff_039"/>
        <s v="Staff_047"/>
        <s v="Staff_049"/>
        <s v="Staff_050"/>
        <s v="Staff_052"/>
        <s v="Staff_053"/>
        <s v="Staff_057"/>
        <s v="Staff_059"/>
        <s v="Staff_069"/>
        <s v="Staff_071"/>
        <s v="Staff_072"/>
        <s v="Staff_074"/>
        <s v="Staff_084"/>
        <s v="Staff_007"/>
        <s v="Staff_012"/>
        <s v="Staff_013"/>
        <s v="Staff_024"/>
        <s v="Staff_030"/>
        <s v="Staff_031"/>
        <s v="Staff_034"/>
        <s v="Staff_035"/>
        <s v="Staff_036"/>
        <s v="Staff_046"/>
        <s v="Staff_054"/>
        <s v="Staff_055"/>
        <s v="Staff_058"/>
        <s v="Staff_061"/>
        <s v="Staff_064"/>
        <s v="Staff_066"/>
        <s v="Staff_068"/>
        <s v="Staff_070"/>
        <s v="Staff_082"/>
        <s v="Staff_090"/>
        <s v="Staff_091"/>
        <s v="Staff_093"/>
        <s v="Staff_001"/>
        <s v="Staff_005"/>
        <s v="Staff_017"/>
        <s v="Staff_023"/>
        <s v="Staff_040"/>
        <s v="Staff_045"/>
        <s v="Staff_060"/>
        <s v="Staff_085"/>
        <s v="Staff_087"/>
        <s v="Staff_092"/>
        <s v="Staff_094"/>
        <s v="Staff_014"/>
        <s v="Staff_022"/>
        <s v="Staff_033"/>
        <s v="Staff_067"/>
        <s v="Staff_073"/>
        <s v="Staff_075"/>
        <s v="Staff_076"/>
      </sharedItems>
    </cacheField>
    <cacheField name="Department" numFmtId="0">
      <sharedItems count="3">
        <s v="Administration"/>
        <s v="Sales &amp; Marketing"/>
        <s v="Repairs"/>
      </sharedItems>
    </cacheField>
    <cacheField name="Division" numFmtId="0">
      <sharedItems/>
    </cacheField>
    <cacheField name="Years of Service" numFmtId="0">
      <sharedItems count="6">
        <s v="&lt;1"/>
        <s v="1-5"/>
        <s v="6-10"/>
        <s v="11-20"/>
        <s v="21-30"/>
        <s v="31-40"/>
      </sharedItems>
    </cacheField>
    <cacheField name="Sort by YOS" numFmtId="0">
      <sharedItems containsSemiMixedTypes="0" containsString="0" containsNumber="1" containsInteger="1" minValue="0" maxValue="5" count="6">
        <n v="0"/>
        <n v="1"/>
        <n v="2"/>
        <n v="3"/>
        <n v="4"/>
        <n v="5"/>
      </sharedItems>
    </cacheField>
    <cacheField name="Supervisor" numFmtId="0">
      <sharedItems/>
    </cacheField>
    <cacheField name="Superviors Status" numFmtId="0">
      <sharedItems count="2">
        <s v="Supervisor"/>
        <s v="Non-supervisor"/>
      </sharedItems>
    </cacheField>
    <cacheField name="Aware: Safety &amp; Wellness Office" numFmtId="0">
      <sharedItems count="2">
        <s v="Yes"/>
        <s v="No"/>
      </sharedItems>
    </cacheField>
    <cacheField name="Aware: Monthly Meetings" numFmtId="0">
      <sharedItems count="2">
        <s v="Yes"/>
        <s v="No"/>
      </sharedItems>
    </cacheField>
    <cacheField name="Awareness Status" numFmtId="0">
      <sharedItems count="3">
        <s v="Aware of office &amp; meeting"/>
        <s v="Unaware of office &amp; meeting"/>
        <s v="Aware of office"/>
      </sharedItems>
    </cacheField>
    <cacheField name="Attended in Past 3 Years" numFmtId="0">
      <sharedItems count="2">
        <s v="Yes"/>
        <s v="No"/>
      </sharedItems>
    </cacheField>
    <cacheField name="Attendance Status" numFmtId="0">
      <sharedItems count="4">
        <s v="Aware Attendee"/>
        <s v="Unaware Non-attendee"/>
        <s v="Aware Non-attendee"/>
        <s v="Office Aware Non-attendee"/>
      </sharedItems>
    </cacheField>
    <cacheField name="Reason for Not Attending (open)" numFmtId="0">
      <sharedItems containsBlank="1"/>
    </cacheField>
    <cacheField name="Barrier (What Prevented You)" numFmtId="0">
      <sharedItems count="3">
        <s v="NA"/>
        <s v="Time conflict"/>
        <s v="Unaware"/>
      </sharedItems>
    </cacheField>
    <cacheField name="Interest in Future Meetings (Yes/No)" numFmtId="0">
      <sharedItems count="2">
        <s v="Yes"/>
        <s v="No"/>
      </sharedItems>
    </cacheField>
    <cacheField name="Would You Be Interested? (Yes/No/Unsure/Unsure)" numFmtId="0">
      <sharedItems count="3">
        <s v="Yes"/>
        <s v="Unsure"/>
        <s v="No"/>
      </sharedItems>
    </cacheField>
  </cacheFields>
  <extLst>
    <ext xmlns:x14="http://schemas.microsoft.com/office/spreadsheetml/2009/9/main" uri="{725AE2AE-9491-48be-B2B4-4EB974FC3084}">
      <x14:pivotCacheDefinition pivotCacheId="770082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n v="1"/>
    <x v="0"/>
    <x v="0"/>
    <s v="Division 080"/>
    <x v="0"/>
    <x v="0"/>
    <s v="Yes"/>
    <x v="0"/>
    <x v="0"/>
    <x v="0"/>
    <x v="0"/>
    <x v="0"/>
    <x v="0"/>
    <m/>
    <x v="0"/>
    <x v="0"/>
    <x v="0"/>
  </r>
  <r>
    <n v="2"/>
    <x v="1"/>
    <x v="1"/>
    <s v="Division 046"/>
    <x v="0"/>
    <x v="0"/>
    <s v="No"/>
    <x v="1"/>
    <x v="1"/>
    <x v="1"/>
    <x v="1"/>
    <x v="1"/>
    <x v="1"/>
    <s v="Time conflict with shift"/>
    <x v="1"/>
    <x v="1"/>
    <x v="1"/>
  </r>
  <r>
    <n v="3"/>
    <x v="2"/>
    <x v="0"/>
    <s v="Division 084"/>
    <x v="0"/>
    <x v="0"/>
    <s v="Yes"/>
    <x v="0"/>
    <x v="0"/>
    <x v="0"/>
    <x v="0"/>
    <x v="1"/>
    <x v="2"/>
    <s v="Location too far"/>
    <x v="0"/>
    <x v="0"/>
    <x v="0"/>
  </r>
  <r>
    <n v="4"/>
    <x v="3"/>
    <x v="0"/>
    <s v="Division 033"/>
    <x v="0"/>
    <x v="0"/>
    <s v="Yes"/>
    <x v="0"/>
    <x v="0"/>
    <x v="1"/>
    <x v="2"/>
    <x v="1"/>
    <x v="3"/>
    <s v="Unaware of meeting schedule"/>
    <x v="2"/>
    <x v="0"/>
    <x v="1"/>
  </r>
  <r>
    <n v="5"/>
    <x v="4"/>
    <x v="1"/>
    <s v="Division 093"/>
    <x v="0"/>
    <x v="0"/>
    <s v="No"/>
    <x v="1"/>
    <x v="0"/>
    <x v="0"/>
    <x v="0"/>
    <x v="1"/>
    <x v="2"/>
    <s v="Out on leave / travel"/>
    <x v="1"/>
    <x v="0"/>
    <x v="1"/>
  </r>
  <r>
    <n v="6"/>
    <x v="5"/>
    <x v="2"/>
    <s v="Division 048"/>
    <x v="0"/>
    <x v="0"/>
    <s v="No"/>
    <x v="1"/>
    <x v="0"/>
    <x v="1"/>
    <x v="2"/>
    <x v="1"/>
    <x v="3"/>
    <s v="Unaware of meeting schedule"/>
    <x v="2"/>
    <x v="0"/>
    <x v="0"/>
  </r>
  <r>
    <n v="7"/>
    <x v="6"/>
    <x v="0"/>
    <s v="Division 059"/>
    <x v="0"/>
    <x v="0"/>
    <s v="No"/>
    <x v="1"/>
    <x v="1"/>
    <x v="1"/>
    <x v="1"/>
    <x v="1"/>
    <x v="1"/>
    <s v="Unaware of meeting schedule"/>
    <x v="2"/>
    <x v="0"/>
    <x v="1"/>
  </r>
  <r>
    <n v="8"/>
    <x v="7"/>
    <x v="1"/>
    <s v="Division 010"/>
    <x v="0"/>
    <x v="0"/>
    <s v="Yes"/>
    <x v="0"/>
    <x v="0"/>
    <x v="0"/>
    <x v="0"/>
    <x v="1"/>
    <x v="2"/>
    <s v="Location too far"/>
    <x v="2"/>
    <x v="0"/>
    <x v="0"/>
  </r>
  <r>
    <n v="9"/>
    <x v="8"/>
    <x v="0"/>
    <s v="Division 083"/>
    <x v="1"/>
    <x v="1"/>
    <s v="No"/>
    <x v="1"/>
    <x v="0"/>
    <x v="0"/>
    <x v="0"/>
    <x v="0"/>
    <x v="0"/>
    <m/>
    <x v="0"/>
    <x v="0"/>
    <x v="0"/>
  </r>
  <r>
    <n v="10"/>
    <x v="9"/>
    <x v="2"/>
    <s v="Division 055"/>
    <x v="1"/>
    <x v="1"/>
    <s v="No"/>
    <x v="1"/>
    <x v="0"/>
    <x v="0"/>
    <x v="0"/>
    <x v="1"/>
    <x v="2"/>
    <s v="Time conflict with shift"/>
    <x v="1"/>
    <x v="0"/>
    <x v="0"/>
  </r>
  <r>
    <n v="11"/>
    <x v="10"/>
    <x v="1"/>
    <s v="Division 087"/>
    <x v="1"/>
    <x v="1"/>
    <s v="No"/>
    <x v="1"/>
    <x v="1"/>
    <x v="1"/>
    <x v="1"/>
    <x v="1"/>
    <x v="1"/>
    <s v="Unaware of meeting schedule"/>
    <x v="2"/>
    <x v="0"/>
    <x v="0"/>
  </r>
  <r>
    <n v="12"/>
    <x v="11"/>
    <x v="2"/>
    <s v="Division 040"/>
    <x v="1"/>
    <x v="1"/>
    <s v="No"/>
    <x v="1"/>
    <x v="0"/>
    <x v="0"/>
    <x v="0"/>
    <x v="1"/>
    <x v="2"/>
    <s v="Location too far"/>
    <x v="1"/>
    <x v="1"/>
    <x v="2"/>
  </r>
  <r>
    <n v="13"/>
    <x v="12"/>
    <x v="1"/>
    <s v="Division 077"/>
    <x v="1"/>
    <x v="1"/>
    <s v="No"/>
    <x v="1"/>
    <x v="0"/>
    <x v="1"/>
    <x v="2"/>
    <x v="1"/>
    <x v="3"/>
    <s v="Unaware of meeting schedule"/>
    <x v="2"/>
    <x v="0"/>
    <x v="0"/>
  </r>
  <r>
    <n v="14"/>
    <x v="13"/>
    <x v="0"/>
    <s v="Division 058"/>
    <x v="1"/>
    <x v="1"/>
    <s v="No"/>
    <x v="1"/>
    <x v="0"/>
    <x v="0"/>
    <x v="0"/>
    <x v="0"/>
    <x v="0"/>
    <m/>
    <x v="0"/>
    <x v="1"/>
    <x v="2"/>
  </r>
  <r>
    <n v="15"/>
    <x v="14"/>
    <x v="2"/>
    <s v="Division 009"/>
    <x v="1"/>
    <x v="1"/>
    <s v="No"/>
    <x v="1"/>
    <x v="0"/>
    <x v="0"/>
    <x v="0"/>
    <x v="0"/>
    <x v="0"/>
    <m/>
    <x v="0"/>
    <x v="0"/>
    <x v="1"/>
  </r>
  <r>
    <n v="16"/>
    <x v="15"/>
    <x v="0"/>
    <s v="Division 043"/>
    <x v="1"/>
    <x v="1"/>
    <s v="No"/>
    <x v="1"/>
    <x v="0"/>
    <x v="0"/>
    <x v="0"/>
    <x v="1"/>
    <x v="2"/>
    <s v="Time conflict with shift"/>
    <x v="0"/>
    <x v="0"/>
    <x v="0"/>
  </r>
  <r>
    <n v="17"/>
    <x v="16"/>
    <x v="1"/>
    <s v="Division 010"/>
    <x v="1"/>
    <x v="1"/>
    <s v="No"/>
    <x v="1"/>
    <x v="0"/>
    <x v="0"/>
    <x v="0"/>
    <x v="0"/>
    <x v="0"/>
    <m/>
    <x v="0"/>
    <x v="0"/>
    <x v="0"/>
  </r>
  <r>
    <n v="18"/>
    <x v="17"/>
    <x v="1"/>
    <s v="Division 002"/>
    <x v="1"/>
    <x v="1"/>
    <s v="No"/>
    <x v="1"/>
    <x v="0"/>
    <x v="0"/>
    <x v="0"/>
    <x v="1"/>
    <x v="2"/>
    <s v="Unaware of meeting schedule"/>
    <x v="0"/>
    <x v="0"/>
    <x v="0"/>
  </r>
  <r>
    <n v="19"/>
    <x v="18"/>
    <x v="2"/>
    <s v="Division 090"/>
    <x v="1"/>
    <x v="1"/>
    <s v="Yes"/>
    <x v="0"/>
    <x v="0"/>
    <x v="1"/>
    <x v="2"/>
    <x v="1"/>
    <x v="3"/>
    <s v="Unaware of meeting schedule"/>
    <x v="2"/>
    <x v="0"/>
    <x v="0"/>
  </r>
  <r>
    <n v="20"/>
    <x v="19"/>
    <x v="1"/>
    <s v="Division 095"/>
    <x v="1"/>
    <x v="1"/>
    <s v="No"/>
    <x v="1"/>
    <x v="1"/>
    <x v="1"/>
    <x v="1"/>
    <x v="1"/>
    <x v="1"/>
    <s v="Unaware of meeting schedule"/>
    <x v="2"/>
    <x v="0"/>
    <x v="2"/>
  </r>
  <r>
    <n v="21"/>
    <x v="20"/>
    <x v="1"/>
    <s v="Division 092"/>
    <x v="1"/>
    <x v="1"/>
    <s v="Yes"/>
    <x v="0"/>
    <x v="0"/>
    <x v="0"/>
    <x v="0"/>
    <x v="1"/>
    <x v="2"/>
    <s v="Forgot due to no reminder"/>
    <x v="2"/>
    <x v="1"/>
    <x v="2"/>
  </r>
  <r>
    <n v="22"/>
    <x v="21"/>
    <x v="0"/>
    <s v="Division 091"/>
    <x v="1"/>
    <x v="1"/>
    <s v="No"/>
    <x v="1"/>
    <x v="0"/>
    <x v="0"/>
    <x v="0"/>
    <x v="0"/>
    <x v="0"/>
    <m/>
    <x v="2"/>
    <x v="0"/>
    <x v="0"/>
  </r>
  <r>
    <n v="23"/>
    <x v="22"/>
    <x v="1"/>
    <s v="Division 052"/>
    <x v="1"/>
    <x v="1"/>
    <s v="No"/>
    <x v="1"/>
    <x v="0"/>
    <x v="0"/>
    <x v="0"/>
    <x v="0"/>
    <x v="0"/>
    <m/>
    <x v="0"/>
    <x v="0"/>
    <x v="0"/>
  </r>
  <r>
    <n v="24"/>
    <x v="23"/>
    <x v="1"/>
    <s v="Division 075"/>
    <x v="1"/>
    <x v="1"/>
    <s v="Yes"/>
    <x v="0"/>
    <x v="0"/>
    <x v="0"/>
    <x v="0"/>
    <x v="1"/>
    <x v="2"/>
    <s v="Out on leave / travel"/>
    <x v="2"/>
    <x v="0"/>
    <x v="0"/>
  </r>
  <r>
    <n v="25"/>
    <x v="24"/>
    <x v="0"/>
    <s v="Division 037"/>
    <x v="1"/>
    <x v="1"/>
    <s v="No"/>
    <x v="1"/>
    <x v="1"/>
    <x v="1"/>
    <x v="1"/>
    <x v="1"/>
    <x v="1"/>
    <s v="Unaware of meeting schedule"/>
    <x v="2"/>
    <x v="0"/>
    <x v="0"/>
  </r>
  <r>
    <n v="26"/>
    <x v="25"/>
    <x v="2"/>
    <s v="Division 097"/>
    <x v="1"/>
    <x v="1"/>
    <s v="No"/>
    <x v="1"/>
    <x v="0"/>
    <x v="0"/>
    <x v="0"/>
    <x v="0"/>
    <x v="0"/>
    <m/>
    <x v="0"/>
    <x v="0"/>
    <x v="1"/>
  </r>
  <r>
    <n v="27"/>
    <x v="26"/>
    <x v="0"/>
    <s v="Division 011"/>
    <x v="1"/>
    <x v="1"/>
    <s v="No"/>
    <x v="1"/>
    <x v="1"/>
    <x v="1"/>
    <x v="1"/>
    <x v="1"/>
    <x v="1"/>
    <s v="Unaware of meeting schedule"/>
    <x v="2"/>
    <x v="0"/>
    <x v="0"/>
  </r>
  <r>
    <n v="28"/>
    <x v="27"/>
    <x v="0"/>
    <s v="Division 043"/>
    <x v="1"/>
    <x v="1"/>
    <s v="No"/>
    <x v="1"/>
    <x v="0"/>
    <x v="1"/>
    <x v="2"/>
    <x v="1"/>
    <x v="3"/>
    <s v="Unaware of meeting schedule"/>
    <x v="2"/>
    <x v="0"/>
    <x v="1"/>
  </r>
  <r>
    <n v="29"/>
    <x v="28"/>
    <x v="0"/>
    <s v="Division 060"/>
    <x v="1"/>
    <x v="1"/>
    <s v="No"/>
    <x v="1"/>
    <x v="1"/>
    <x v="1"/>
    <x v="1"/>
    <x v="1"/>
    <x v="1"/>
    <s v="Unaware of meeting schedule"/>
    <x v="2"/>
    <x v="0"/>
    <x v="0"/>
  </r>
  <r>
    <n v="30"/>
    <x v="29"/>
    <x v="0"/>
    <s v="Division 050"/>
    <x v="1"/>
    <x v="1"/>
    <s v="No"/>
    <x v="1"/>
    <x v="0"/>
    <x v="0"/>
    <x v="0"/>
    <x v="0"/>
    <x v="0"/>
    <m/>
    <x v="2"/>
    <x v="0"/>
    <x v="1"/>
  </r>
  <r>
    <n v="31"/>
    <x v="30"/>
    <x v="0"/>
    <s v="Division 016"/>
    <x v="1"/>
    <x v="1"/>
    <s v="No"/>
    <x v="1"/>
    <x v="0"/>
    <x v="0"/>
    <x v="0"/>
    <x v="0"/>
    <x v="0"/>
    <m/>
    <x v="0"/>
    <x v="0"/>
    <x v="2"/>
  </r>
  <r>
    <n v="32"/>
    <x v="31"/>
    <x v="1"/>
    <s v="Division 026"/>
    <x v="1"/>
    <x v="1"/>
    <s v="No"/>
    <x v="1"/>
    <x v="0"/>
    <x v="1"/>
    <x v="2"/>
    <x v="1"/>
    <x v="3"/>
    <s v="Unaware of meeting schedule"/>
    <x v="2"/>
    <x v="0"/>
    <x v="1"/>
  </r>
  <r>
    <n v="33"/>
    <x v="32"/>
    <x v="2"/>
    <s v="Division 024"/>
    <x v="2"/>
    <x v="2"/>
    <s v="No"/>
    <x v="1"/>
    <x v="0"/>
    <x v="0"/>
    <x v="0"/>
    <x v="0"/>
    <x v="0"/>
    <m/>
    <x v="0"/>
    <x v="0"/>
    <x v="0"/>
  </r>
  <r>
    <n v="34"/>
    <x v="33"/>
    <x v="1"/>
    <s v="Division 051"/>
    <x v="2"/>
    <x v="2"/>
    <s v="No"/>
    <x v="1"/>
    <x v="0"/>
    <x v="0"/>
    <x v="0"/>
    <x v="0"/>
    <x v="0"/>
    <m/>
    <x v="0"/>
    <x v="0"/>
    <x v="0"/>
  </r>
  <r>
    <n v="35"/>
    <x v="34"/>
    <x v="1"/>
    <s v="Division 076"/>
    <x v="2"/>
    <x v="2"/>
    <s v="No"/>
    <x v="1"/>
    <x v="1"/>
    <x v="1"/>
    <x v="1"/>
    <x v="1"/>
    <x v="1"/>
    <s v="Time conflict with shift"/>
    <x v="1"/>
    <x v="0"/>
    <x v="0"/>
  </r>
  <r>
    <n v="36"/>
    <x v="35"/>
    <x v="2"/>
    <s v="Division 025"/>
    <x v="2"/>
    <x v="2"/>
    <s v="No"/>
    <x v="1"/>
    <x v="0"/>
    <x v="1"/>
    <x v="2"/>
    <x v="1"/>
    <x v="3"/>
    <s v="Unaware of meeting schedule"/>
    <x v="2"/>
    <x v="1"/>
    <x v="2"/>
  </r>
  <r>
    <n v="37"/>
    <x v="36"/>
    <x v="2"/>
    <s v="Division 049"/>
    <x v="2"/>
    <x v="2"/>
    <s v="No"/>
    <x v="1"/>
    <x v="1"/>
    <x v="1"/>
    <x v="1"/>
    <x v="1"/>
    <x v="1"/>
    <s v="Unaware of meeting schedule"/>
    <x v="2"/>
    <x v="0"/>
    <x v="0"/>
  </r>
  <r>
    <n v="38"/>
    <x v="37"/>
    <x v="0"/>
    <s v="Division 043"/>
    <x v="2"/>
    <x v="2"/>
    <s v="No"/>
    <x v="1"/>
    <x v="1"/>
    <x v="1"/>
    <x v="1"/>
    <x v="1"/>
    <x v="1"/>
    <s v="Unaware of meeting schedule"/>
    <x v="2"/>
    <x v="1"/>
    <x v="1"/>
  </r>
  <r>
    <n v="39"/>
    <x v="38"/>
    <x v="0"/>
    <s v="Division 080"/>
    <x v="2"/>
    <x v="2"/>
    <s v="No"/>
    <x v="1"/>
    <x v="0"/>
    <x v="0"/>
    <x v="0"/>
    <x v="0"/>
    <x v="0"/>
    <m/>
    <x v="0"/>
    <x v="0"/>
    <x v="0"/>
  </r>
  <r>
    <n v="40"/>
    <x v="39"/>
    <x v="1"/>
    <s v="Division 026"/>
    <x v="2"/>
    <x v="2"/>
    <s v="No"/>
    <x v="1"/>
    <x v="0"/>
    <x v="0"/>
    <x v="0"/>
    <x v="1"/>
    <x v="2"/>
    <s v="Forgot due to no reminder"/>
    <x v="0"/>
    <x v="0"/>
    <x v="0"/>
  </r>
  <r>
    <n v="41"/>
    <x v="40"/>
    <x v="2"/>
    <s v="Division 064"/>
    <x v="2"/>
    <x v="2"/>
    <s v="No"/>
    <x v="1"/>
    <x v="0"/>
    <x v="0"/>
    <x v="0"/>
    <x v="0"/>
    <x v="0"/>
    <m/>
    <x v="0"/>
    <x v="1"/>
    <x v="2"/>
  </r>
  <r>
    <n v="42"/>
    <x v="41"/>
    <x v="0"/>
    <s v="Division 043"/>
    <x v="2"/>
    <x v="2"/>
    <s v="No"/>
    <x v="1"/>
    <x v="1"/>
    <x v="1"/>
    <x v="1"/>
    <x v="1"/>
    <x v="1"/>
    <s v="Time conflict with shift"/>
    <x v="1"/>
    <x v="1"/>
    <x v="0"/>
  </r>
  <r>
    <n v="43"/>
    <x v="42"/>
    <x v="0"/>
    <s v="Division 072"/>
    <x v="2"/>
    <x v="2"/>
    <s v="No"/>
    <x v="1"/>
    <x v="0"/>
    <x v="0"/>
    <x v="0"/>
    <x v="0"/>
    <x v="0"/>
    <m/>
    <x v="0"/>
    <x v="0"/>
    <x v="0"/>
  </r>
  <r>
    <n v="44"/>
    <x v="43"/>
    <x v="1"/>
    <s v="Division 089"/>
    <x v="2"/>
    <x v="2"/>
    <s v="Yes"/>
    <x v="0"/>
    <x v="0"/>
    <x v="1"/>
    <x v="2"/>
    <x v="1"/>
    <x v="3"/>
    <s v="Unaware of meeting schedule"/>
    <x v="2"/>
    <x v="1"/>
    <x v="2"/>
  </r>
  <r>
    <n v="45"/>
    <x v="44"/>
    <x v="0"/>
    <s v="Division 080"/>
    <x v="2"/>
    <x v="2"/>
    <s v="No"/>
    <x v="1"/>
    <x v="1"/>
    <x v="1"/>
    <x v="1"/>
    <x v="1"/>
    <x v="1"/>
    <s v="Time conflict with shift"/>
    <x v="1"/>
    <x v="1"/>
    <x v="1"/>
  </r>
  <r>
    <n v="46"/>
    <x v="45"/>
    <x v="0"/>
    <s v="Division 069"/>
    <x v="2"/>
    <x v="2"/>
    <s v="Yes"/>
    <x v="0"/>
    <x v="0"/>
    <x v="0"/>
    <x v="0"/>
    <x v="0"/>
    <x v="0"/>
    <m/>
    <x v="0"/>
    <x v="0"/>
    <x v="0"/>
  </r>
  <r>
    <n v="47"/>
    <x v="46"/>
    <x v="2"/>
    <s v="Division 018"/>
    <x v="2"/>
    <x v="2"/>
    <s v="No"/>
    <x v="1"/>
    <x v="0"/>
    <x v="0"/>
    <x v="0"/>
    <x v="0"/>
    <x v="0"/>
    <m/>
    <x v="0"/>
    <x v="0"/>
    <x v="0"/>
  </r>
  <r>
    <n v="48"/>
    <x v="47"/>
    <x v="1"/>
    <s v="Division 056"/>
    <x v="2"/>
    <x v="2"/>
    <s v="Yes"/>
    <x v="0"/>
    <x v="0"/>
    <x v="0"/>
    <x v="0"/>
    <x v="1"/>
    <x v="2"/>
    <s v="Forgot due to no reminder"/>
    <x v="1"/>
    <x v="0"/>
    <x v="1"/>
  </r>
  <r>
    <n v="49"/>
    <x v="48"/>
    <x v="0"/>
    <s v="Division 038"/>
    <x v="2"/>
    <x v="2"/>
    <s v="No"/>
    <x v="1"/>
    <x v="1"/>
    <x v="1"/>
    <x v="1"/>
    <x v="1"/>
    <x v="1"/>
    <s v="Unaware of meeting schedule"/>
    <x v="2"/>
    <x v="0"/>
    <x v="2"/>
  </r>
  <r>
    <n v="50"/>
    <x v="49"/>
    <x v="2"/>
    <s v="Division 021"/>
    <x v="2"/>
    <x v="2"/>
    <s v="No"/>
    <x v="1"/>
    <x v="0"/>
    <x v="0"/>
    <x v="0"/>
    <x v="0"/>
    <x v="0"/>
    <m/>
    <x v="0"/>
    <x v="0"/>
    <x v="1"/>
  </r>
  <r>
    <n v="51"/>
    <x v="50"/>
    <x v="0"/>
    <s v="Division 043"/>
    <x v="2"/>
    <x v="2"/>
    <s v="No"/>
    <x v="1"/>
    <x v="1"/>
    <x v="1"/>
    <x v="1"/>
    <x v="1"/>
    <x v="1"/>
    <s v="Unaware of meeting schedule"/>
    <x v="2"/>
    <x v="0"/>
    <x v="0"/>
  </r>
  <r>
    <n v="52"/>
    <x v="51"/>
    <x v="0"/>
    <s v="Division 043"/>
    <x v="2"/>
    <x v="2"/>
    <s v="No"/>
    <x v="1"/>
    <x v="0"/>
    <x v="0"/>
    <x v="0"/>
    <x v="1"/>
    <x v="2"/>
    <s v="Prefer online/recording"/>
    <x v="2"/>
    <x v="1"/>
    <x v="2"/>
  </r>
  <r>
    <n v="53"/>
    <x v="52"/>
    <x v="0"/>
    <s v="Division 041"/>
    <x v="2"/>
    <x v="2"/>
    <s v="Yes"/>
    <x v="0"/>
    <x v="1"/>
    <x v="1"/>
    <x v="1"/>
    <x v="1"/>
    <x v="1"/>
    <s v="Unaware of meeting schedule"/>
    <x v="2"/>
    <x v="0"/>
    <x v="0"/>
  </r>
  <r>
    <n v="54"/>
    <x v="53"/>
    <x v="2"/>
    <s v="Division 082"/>
    <x v="2"/>
    <x v="2"/>
    <s v="Yes"/>
    <x v="0"/>
    <x v="1"/>
    <x v="1"/>
    <x v="1"/>
    <x v="1"/>
    <x v="1"/>
    <s v="Unaware of meeting schedule"/>
    <x v="2"/>
    <x v="0"/>
    <x v="0"/>
  </r>
  <r>
    <n v="55"/>
    <x v="54"/>
    <x v="1"/>
    <s v="Division 095"/>
    <x v="2"/>
    <x v="2"/>
    <s v="Yes"/>
    <x v="0"/>
    <x v="0"/>
    <x v="0"/>
    <x v="0"/>
    <x v="0"/>
    <x v="0"/>
    <m/>
    <x v="0"/>
    <x v="0"/>
    <x v="0"/>
  </r>
  <r>
    <n v="56"/>
    <x v="55"/>
    <x v="0"/>
    <s v="Division 007"/>
    <x v="3"/>
    <x v="3"/>
    <s v="No"/>
    <x v="1"/>
    <x v="0"/>
    <x v="0"/>
    <x v="0"/>
    <x v="1"/>
    <x v="2"/>
    <s v="Location too far"/>
    <x v="2"/>
    <x v="1"/>
    <x v="1"/>
  </r>
  <r>
    <n v="57"/>
    <x v="56"/>
    <x v="0"/>
    <s v="Division 047"/>
    <x v="3"/>
    <x v="3"/>
    <s v="No"/>
    <x v="1"/>
    <x v="0"/>
    <x v="0"/>
    <x v="0"/>
    <x v="1"/>
    <x v="2"/>
    <s v="Topic felt not relevant"/>
    <x v="1"/>
    <x v="1"/>
    <x v="1"/>
  </r>
  <r>
    <n v="58"/>
    <x v="57"/>
    <x v="2"/>
    <s v="Division 098"/>
    <x v="3"/>
    <x v="3"/>
    <s v="No"/>
    <x v="1"/>
    <x v="1"/>
    <x v="1"/>
    <x v="1"/>
    <x v="1"/>
    <x v="1"/>
    <s v="Unaware of meeting schedule"/>
    <x v="2"/>
    <x v="1"/>
    <x v="2"/>
  </r>
  <r>
    <n v="59"/>
    <x v="58"/>
    <x v="0"/>
    <s v="Division 100"/>
    <x v="3"/>
    <x v="3"/>
    <s v="No"/>
    <x v="1"/>
    <x v="1"/>
    <x v="1"/>
    <x v="1"/>
    <x v="1"/>
    <x v="1"/>
    <s v="Unaware of meeting schedule"/>
    <x v="2"/>
    <x v="1"/>
    <x v="2"/>
  </r>
  <r>
    <n v="60"/>
    <x v="59"/>
    <x v="0"/>
    <s v="Division 078"/>
    <x v="3"/>
    <x v="3"/>
    <s v="No"/>
    <x v="1"/>
    <x v="0"/>
    <x v="0"/>
    <x v="0"/>
    <x v="1"/>
    <x v="2"/>
    <s v="Topic felt not relevant"/>
    <x v="1"/>
    <x v="0"/>
    <x v="1"/>
  </r>
  <r>
    <n v="61"/>
    <x v="60"/>
    <x v="1"/>
    <s v="Division 026"/>
    <x v="3"/>
    <x v="3"/>
    <s v="No"/>
    <x v="1"/>
    <x v="0"/>
    <x v="0"/>
    <x v="0"/>
    <x v="0"/>
    <x v="0"/>
    <m/>
    <x v="0"/>
    <x v="0"/>
    <x v="1"/>
  </r>
  <r>
    <n v="62"/>
    <x v="61"/>
    <x v="2"/>
    <s v="Division 061"/>
    <x v="3"/>
    <x v="3"/>
    <s v="No"/>
    <x v="1"/>
    <x v="0"/>
    <x v="0"/>
    <x v="0"/>
    <x v="1"/>
    <x v="2"/>
    <s v="Time conflict with shift"/>
    <x v="1"/>
    <x v="0"/>
    <x v="2"/>
  </r>
  <r>
    <n v="63"/>
    <x v="62"/>
    <x v="0"/>
    <s v="Division 043"/>
    <x v="3"/>
    <x v="3"/>
    <s v="No"/>
    <x v="1"/>
    <x v="0"/>
    <x v="1"/>
    <x v="2"/>
    <x v="1"/>
    <x v="3"/>
    <s v="Time conflict with shift"/>
    <x v="1"/>
    <x v="1"/>
    <x v="2"/>
  </r>
  <r>
    <n v="64"/>
    <x v="63"/>
    <x v="1"/>
    <s v="Division 053"/>
    <x v="3"/>
    <x v="3"/>
    <s v="Yes"/>
    <x v="0"/>
    <x v="0"/>
    <x v="0"/>
    <x v="0"/>
    <x v="1"/>
    <x v="2"/>
    <s v="Topic felt not relevant"/>
    <x v="1"/>
    <x v="1"/>
    <x v="1"/>
  </r>
  <r>
    <n v="65"/>
    <x v="64"/>
    <x v="2"/>
    <s v="Division 088"/>
    <x v="3"/>
    <x v="3"/>
    <s v="No"/>
    <x v="1"/>
    <x v="1"/>
    <x v="1"/>
    <x v="1"/>
    <x v="1"/>
    <x v="1"/>
    <s v="Unaware of meeting schedule"/>
    <x v="2"/>
    <x v="1"/>
    <x v="1"/>
  </r>
  <r>
    <n v="66"/>
    <x v="65"/>
    <x v="1"/>
    <s v="Division 070"/>
    <x v="3"/>
    <x v="3"/>
    <s v="Yes"/>
    <x v="0"/>
    <x v="0"/>
    <x v="0"/>
    <x v="0"/>
    <x v="0"/>
    <x v="0"/>
    <m/>
    <x v="0"/>
    <x v="1"/>
    <x v="1"/>
  </r>
  <r>
    <n v="67"/>
    <x v="66"/>
    <x v="0"/>
    <s v="Division 005"/>
    <x v="3"/>
    <x v="3"/>
    <s v="No"/>
    <x v="1"/>
    <x v="0"/>
    <x v="0"/>
    <x v="0"/>
    <x v="1"/>
    <x v="2"/>
    <s v="Forgot due to no reminder"/>
    <x v="1"/>
    <x v="1"/>
    <x v="2"/>
  </r>
  <r>
    <n v="68"/>
    <x v="67"/>
    <x v="1"/>
    <s v="Division 008"/>
    <x v="3"/>
    <x v="3"/>
    <s v="No"/>
    <x v="1"/>
    <x v="1"/>
    <x v="1"/>
    <x v="1"/>
    <x v="1"/>
    <x v="1"/>
    <s v="Time conflict with shift"/>
    <x v="1"/>
    <x v="1"/>
    <x v="2"/>
  </r>
  <r>
    <n v="69"/>
    <x v="68"/>
    <x v="1"/>
    <s v="Division 039"/>
    <x v="3"/>
    <x v="3"/>
    <s v="No"/>
    <x v="1"/>
    <x v="0"/>
    <x v="0"/>
    <x v="0"/>
    <x v="1"/>
    <x v="2"/>
    <s v="Manager approval not granted"/>
    <x v="1"/>
    <x v="0"/>
    <x v="1"/>
  </r>
  <r>
    <n v="70"/>
    <x v="69"/>
    <x v="2"/>
    <s v="Division 061"/>
    <x v="3"/>
    <x v="3"/>
    <s v="No"/>
    <x v="1"/>
    <x v="0"/>
    <x v="1"/>
    <x v="2"/>
    <x v="1"/>
    <x v="3"/>
    <s v="Unaware of meeting schedule"/>
    <x v="2"/>
    <x v="0"/>
    <x v="1"/>
  </r>
  <r>
    <n v="71"/>
    <x v="70"/>
    <x v="0"/>
    <s v="Division 078"/>
    <x v="3"/>
    <x v="3"/>
    <s v="No"/>
    <x v="1"/>
    <x v="0"/>
    <x v="0"/>
    <x v="0"/>
    <x v="1"/>
    <x v="2"/>
    <s v="Time conflict with shift"/>
    <x v="1"/>
    <x v="0"/>
    <x v="0"/>
  </r>
  <r>
    <n v="72"/>
    <x v="71"/>
    <x v="1"/>
    <s v="Division 034"/>
    <x v="3"/>
    <x v="3"/>
    <s v="Yes"/>
    <x v="0"/>
    <x v="0"/>
    <x v="1"/>
    <x v="2"/>
    <x v="1"/>
    <x v="3"/>
    <s v="Time conflict with shift"/>
    <x v="2"/>
    <x v="1"/>
    <x v="2"/>
  </r>
  <r>
    <n v="73"/>
    <x v="72"/>
    <x v="1"/>
    <s v="Division 054"/>
    <x v="3"/>
    <x v="3"/>
    <s v="Yes"/>
    <x v="0"/>
    <x v="0"/>
    <x v="0"/>
    <x v="0"/>
    <x v="0"/>
    <x v="0"/>
    <m/>
    <x v="0"/>
    <x v="0"/>
    <x v="1"/>
  </r>
  <r>
    <n v="74"/>
    <x v="73"/>
    <x v="0"/>
    <s v="Division 014"/>
    <x v="3"/>
    <x v="3"/>
    <s v="No"/>
    <x v="1"/>
    <x v="1"/>
    <x v="1"/>
    <x v="1"/>
    <x v="1"/>
    <x v="1"/>
    <s v="Unaware of meeting schedule"/>
    <x v="2"/>
    <x v="1"/>
    <x v="1"/>
  </r>
  <r>
    <n v="75"/>
    <x v="74"/>
    <x v="2"/>
    <s v="Division 031"/>
    <x v="3"/>
    <x v="3"/>
    <s v="Yes"/>
    <x v="0"/>
    <x v="0"/>
    <x v="0"/>
    <x v="0"/>
    <x v="0"/>
    <x v="0"/>
    <m/>
    <x v="0"/>
    <x v="0"/>
    <x v="2"/>
  </r>
  <r>
    <n v="76"/>
    <x v="75"/>
    <x v="2"/>
    <s v="Division 079"/>
    <x v="3"/>
    <x v="3"/>
    <s v="No"/>
    <x v="1"/>
    <x v="1"/>
    <x v="1"/>
    <x v="1"/>
    <x v="1"/>
    <x v="1"/>
    <s v="Unaware of meeting schedule"/>
    <x v="2"/>
    <x v="0"/>
    <x v="2"/>
  </r>
  <r>
    <n v="77"/>
    <x v="76"/>
    <x v="0"/>
    <s v="Division 086"/>
    <x v="3"/>
    <x v="3"/>
    <s v="No"/>
    <x v="1"/>
    <x v="1"/>
    <x v="1"/>
    <x v="1"/>
    <x v="1"/>
    <x v="1"/>
    <s v="Unaware of meeting schedule"/>
    <x v="2"/>
    <x v="1"/>
    <x v="0"/>
  </r>
  <r>
    <n v="78"/>
    <x v="77"/>
    <x v="1"/>
    <s v="Division 013"/>
    <x v="4"/>
    <x v="4"/>
    <s v="Yes"/>
    <x v="0"/>
    <x v="0"/>
    <x v="0"/>
    <x v="0"/>
    <x v="1"/>
    <x v="2"/>
    <s v="Out on leave / travel"/>
    <x v="2"/>
    <x v="1"/>
    <x v="2"/>
  </r>
  <r>
    <n v="79"/>
    <x v="78"/>
    <x v="1"/>
    <s v="Division 026"/>
    <x v="4"/>
    <x v="4"/>
    <s v="No"/>
    <x v="1"/>
    <x v="0"/>
    <x v="0"/>
    <x v="0"/>
    <x v="0"/>
    <x v="0"/>
    <m/>
    <x v="0"/>
    <x v="0"/>
    <x v="2"/>
  </r>
  <r>
    <n v="80"/>
    <x v="79"/>
    <x v="1"/>
    <s v="Division 012"/>
    <x v="4"/>
    <x v="4"/>
    <s v="No"/>
    <x v="1"/>
    <x v="0"/>
    <x v="0"/>
    <x v="0"/>
    <x v="1"/>
    <x v="2"/>
    <s v="Unaware of meeting schedule"/>
    <x v="1"/>
    <x v="0"/>
    <x v="0"/>
  </r>
  <r>
    <n v="81"/>
    <x v="80"/>
    <x v="0"/>
    <s v="Division 065"/>
    <x v="4"/>
    <x v="4"/>
    <s v="Yes"/>
    <x v="0"/>
    <x v="0"/>
    <x v="0"/>
    <x v="0"/>
    <x v="0"/>
    <x v="0"/>
    <m/>
    <x v="0"/>
    <x v="0"/>
    <x v="0"/>
  </r>
  <r>
    <n v="82"/>
    <x v="81"/>
    <x v="1"/>
    <s v="Division 068"/>
    <x v="4"/>
    <x v="4"/>
    <s v="No"/>
    <x v="1"/>
    <x v="0"/>
    <x v="0"/>
    <x v="0"/>
    <x v="0"/>
    <x v="0"/>
    <m/>
    <x v="0"/>
    <x v="0"/>
    <x v="1"/>
  </r>
  <r>
    <n v="83"/>
    <x v="82"/>
    <x v="1"/>
    <s v="Division 013"/>
    <x v="4"/>
    <x v="4"/>
    <s v="No"/>
    <x v="1"/>
    <x v="0"/>
    <x v="1"/>
    <x v="2"/>
    <x v="1"/>
    <x v="3"/>
    <s v="Unaware of meeting schedule"/>
    <x v="2"/>
    <x v="0"/>
    <x v="0"/>
  </r>
  <r>
    <n v="84"/>
    <x v="83"/>
    <x v="0"/>
    <s v="Division 020"/>
    <x v="4"/>
    <x v="4"/>
    <s v="No"/>
    <x v="1"/>
    <x v="0"/>
    <x v="0"/>
    <x v="0"/>
    <x v="0"/>
    <x v="0"/>
    <m/>
    <x v="0"/>
    <x v="0"/>
    <x v="2"/>
  </r>
  <r>
    <n v="85"/>
    <x v="84"/>
    <x v="0"/>
    <s v="Division 022"/>
    <x v="4"/>
    <x v="4"/>
    <s v="No"/>
    <x v="1"/>
    <x v="0"/>
    <x v="0"/>
    <x v="0"/>
    <x v="0"/>
    <x v="0"/>
    <m/>
    <x v="0"/>
    <x v="0"/>
    <x v="0"/>
  </r>
  <r>
    <n v="86"/>
    <x v="85"/>
    <x v="1"/>
    <s v="Division 077"/>
    <x v="4"/>
    <x v="4"/>
    <s v="No"/>
    <x v="1"/>
    <x v="0"/>
    <x v="0"/>
    <x v="0"/>
    <x v="1"/>
    <x v="2"/>
    <s v="Time conflict with shift"/>
    <x v="0"/>
    <x v="0"/>
    <x v="0"/>
  </r>
  <r>
    <n v="87"/>
    <x v="86"/>
    <x v="2"/>
    <s v="Division 019"/>
    <x v="4"/>
    <x v="4"/>
    <s v="No"/>
    <x v="1"/>
    <x v="1"/>
    <x v="1"/>
    <x v="1"/>
    <x v="1"/>
    <x v="1"/>
    <s v="Time conflict with shift"/>
    <x v="1"/>
    <x v="1"/>
    <x v="2"/>
  </r>
  <r>
    <n v="88"/>
    <x v="87"/>
    <x v="0"/>
    <s v="Division 067"/>
    <x v="4"/>
    <x v="4"/>
    <s v="No"/>
    <x v="1"/>
    <x v="0"/>
    <x v="0"/>
    <x v="0"/>
    <x v="1"/>
    <x v="2"/>
    <s v="Location too far"/>
    <x v="2"/>
    <x v="0"/>
    <x v="0"/>
  </r>
  <r>
    <n v="89"/>
    <x v="88"/>
    <x v="1"/>
    <s v="Division 013"/>
    <x v="5"/>
    <x v="5"/>
    <s v="Yes"/>
    <x v="0"/>
    <x v="0"/>
    <x v="0"/>
    <x v="0"/>
    <x v="1"/>
    <x v="2"/>
    <s v="Manager approval not granted"/>
    <x v="0"/>
    <x v="1"/>
    <x v="2"/>
  </r>
  <r>
    <n v="90"/>
    <x v="89"/>
    <x v="0"/>
    <s v="Division 062"/>
    <x v="5"/>
    <x v="5"/>
    <s v="No"/>
    <x v="1"/>
    <x v="0"/>
    <x v="0"/>
    <x v="0"/>
    <x v="0"/>
    <x v="0"/>
    <m/>
    <x v="0"/>
    <x v="0"/>
    <x v="0"/>
  </r>
  <r>
    <n v="91"/>
    <x v="90"/>
    <x v="0"/>
    <s v="Division 017"/>
    <x v="5"/>
    <x v="5"/>
    <s v="No"/>
    <x v="1"/>
    <x v="0"/>
    <x v="0"/>
    <x v="0"/>
    <x v="1"/>
    <x v="2"/>
    <s v="Prefer online/recording"/>
    <x v="1"/>
    <x v="1"/>
    <x v="0"/>
  </r>
  <r>
    <n v="92"/>
    <x v="91"/>
    <x v="1"/>
    <s v="Division 035"/>
    <x v="5"/>
    <x v="5"/>
    <s v="No"/>
    <x v="1"/>
    <x v="0"/>
    <x v="1"/>
    <x v="2"/>
    <x v="1"/>
    <x v="3"/>
    <s v="Unaware of meeting schedule"/>
    <x v="2"/>
    <x v="0"/>
    <x v="1"/>
  </r>
  <r>
    <n v="93"/>
    <x v="92"/>
    <x v="1"/>
    <s v="Division 077"/>
    <x v="5"/>
    <x v="5"/>
    <s v="Yes"/>
    <x v="0"/>
    <x v="0"/>
    <x v="0"/>
    <x v="0"/>
    <x v="1"/>
    <x v="2"/>
    <s v="Manager approval not granted"/>
    <x v="1"/>
    <x v="0"/>
    <x v="0"/>
  </r>
  <r>
    <n v="94"/>
    <x v="93"/>
    <x v="1"/>
    <s v="Division 013"/>
    <x v="5"/>
    <x v="5"/>
    <s v="No"/>
    <x v="1"/>
    <x v="0"/>
    <x v="0"/>
    <x v="0"/>
    <x v="1"/>
    <x v="2"/>
    <s v="Out on leave / travel"/>
    <x v="1"/>
    <x v="0"/>
    <x v="0"/>
  </r>
  <r>
    <n v="95"/>
    <x v="94"/>
    <x v="1"/>
    <s v="Division 026"/>
    <x v="5"/>
    <x v="5"/>
    <s v="No"/>
    <x v="1"/>
    <x v="1"/>
    <x v="1"/>
    <x v="1"/>
    <x v="1"/>
    <x v="1"/>
    <s v="Unaware of meeting schedule"/>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291F34-8236-874A-A33D-C5BE1FAE0D8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ID" fld="0" subtotal="count" showDataAs="percentOfTotal" baseField="0" baseItem="0" numFmtId="10"/>
  </dataFields>
  <formats count="3">
    <format dxfId="2">
      <pivotArea collapsedLevelsAreSubtotals="1" fieldPosition="0">
        <references count="1">
          <reference field="9" count="1">
            <x v="0"/>
          </reference>
        </references>
      </pivotArea>
    </format>
    <format dxfId="1">
      <pivotArea collapsedLevelsAreSubtotals="1" fieldPosition="0">
        <references count="1">
          <reference field="9" count="1">
            <x v="1"/>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5EB86-A014-F144-A353-30428CBF5C94}" name="PivotTable3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epartments">
  <location ref="T3:U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axis="axisRow"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showAll="0">
      <items count="5">
        <item x="0"/>
        <item x="2"/>
        <item x="3"/>
        <item x="1"/>
        <item t="default"/>
      </items>
    </pivotField>
    <pivotField showAll="0"/>
    <pivotField showAll="0">
      <items count="4">
        <item x="0"/>
        <item x="1"/>
        <item x="2"/>
        <item t="default"/>
      </items>
    </pivotField>
    <pivotField showAll="0"/>
    <pivotField showAll="0">
      <items count="4">
        <item x="2"/>
        <item x="1"/>
        <item x="0"/>
        <item t="default"/>
      </items>
    </pivotField>
  </pivotFields>
  <rowFields count="1">
    <field x="2"/>
  </rowFields>
  <rowItems count="3">
    <i>
      <x/>
    </i>
    <i>
      <x v="1"/>
    </i>
    <i>
      <x v="2"/>
    </i>
  </rowItems>
  <colItems count="1">
    <i/>
  </colItems>
  <dataFields count="1">
    <dataField name="Respons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D8E32-D306-664C-B435-A95522208125}"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est in Future Meetings">
  <location ref="N3:O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showAll="0">
      <items count="5">
        <item x="0"/>
        <item x="2"/>
        <item x="3"/>
        <item x="1"/>
        <item t="default"/>
      </items>
    </pivotField>
    <pivotField showAll="0"/>
    <pivotField showAll="0"/>
    <pivotField axis="axisRow" showAll="0">
      <items count="3">
        <item x="0"/>
        <item x="1"/>
        <item t="default"/>
      </items>
    </pivotField>
    <pivotField showAll="0"/>
  </pivotFields>
  <rowFields count="1">
    <field x="15"/>
  </rowFields>
  <rowItems count="3">
    <i>
      <x/>
    </i>
    <i>
      <x v="1"/>
    </i>
    <i t="grand">
      <x/>
    </i>
  </rowItems>
  <colItems count="1">
    <i/>
  </colItems>
  <dataFields count="1">
    <dataField name="Response" fld="0" subtotal="count" showDataAs="percentOfTotal" baseField="0" baseItem="0" numFmtId="10"/>
  </dataFields>
  <formats count="3">
    <format dxfId="5">
      <pivotArea collapsedLevelsAreSubtotals="1" fieldPosition="0">
        <references count="1">
          <reference field="15" count="1">
            <x v="0"/>
          </reference>
        </references>
      </pivotArea>
    </format>
    <format dxfId="4">
      <pivotArea collapsedLevelsAreSubtotals="1" fieldPosition="0">
        <references count="1">
          <reference field="15" count="1">
            <x v="1"/>
          </reference>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A21FF-0053-9F4C-AEB1-8F97C9FCBD6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wareness Status">
  <location ref="A16:B20"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axis="axisRow" showAll="0">
      <items count="4">
        <item x="2"/>
        <item x="0"/>
        <item x="1"/>
        <item t="default"/>
      </items>
    </pivotField>
    <pivotField showAll="0">
      <items count="3">
        <item x="1"/>
        <item x="0"/>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Response" fld="0" subtotal="count" showDataAs="percentOfTotal" baseField="0" baseItem="0" numFmtId="9"/>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581CD-D1D5-FE44-9A79-613923431E2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BB58D-B360-9B4A-8A59-0F4CB451B7B7}"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axis="axisRow" showAll="0">
      <items count="4">
        <item x="2"/>
        <item x="0"/>
        <item x="1"/>
        <item t="default"/>
      </items>
    </pivotField>
    <pivotField showAll="0">
      <items count="3">
        <item x="1"/>
        <item x="0"/>
        <item t="default"/>
      </items>
    </pivotField>
    <pivotField showAll="0"/>
    <pivotField showAll="0"/>
    <pivotField showAll="0"/>
    <pivotField showAll="0"/>
    <pivotField showAll="0"/>
  </pivotFields>
  <rowFields count="1">
    <field x="10"/>
  </rowFields>
  <rowItems count="3">
    <i>
      <x/>
    </i>
    <i>
      <x v="1"/>
    </i>
    <i>
      <x v="2"/>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46D144-880F-3C44-AF77-920C44EE8149}"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7:M21"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showAll="0">
      <items count="5">
        <item x="0"/>
        <item x="2"/>
        <item x="3"/>
        <item x="1"/>
        <item t="default"/>
      </items>
    </pivotField>
    <pivotField showAll="0"/>
    <pivotField axis="axisRow" showAll="0">
      <items count="4">
        <item x="0"/>
        <item x="1"/>
        <item x="2"/>
        <item t="default"/>
      </items>
    </pivotField>
    <pivotField showAll="0"/>
    <pivotField showAll="0">
      <items count="4">
        <item x="2"/>
        <item x="1"/>
        <item x="0"/>
        <item t="default"/>
      </items>
    </pivotField>
  </pivotFields>
  <rowFields count="1">
    <field x="14"/>
  </rowFields>
  <rowItems count="4">
    <i>
      <x/>
    </i>
    <i>
      <x v="1"/>
    </i>
    <i>
      <x v="2"/>
    </i>
    <i t="grand">
      <x/>
    </i>
  </rowItems>
  <colItems count="1">
    <i/>
  </colItems>
  <dataFields count="1">
    <dataField name="Response" fld="0"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72C3B3-E887-E648-AE65-E4E0B90A945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ID" fld="0" subtotal="count" showDataAs="percentOfTotal" baseField="0" baseItem="0" numFmtId="10"/>
  </dataFields>
  <formats count="3">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6AB38F-057B-F14E-A9BC-C1571CEE31BF}" name="PivotTable2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X7"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axis="axisRow" showAll="0">
      <items count="5">
        <item x="0"/>
        <item x="2"/>
        <item x="3"/>
        <item x="1"/>
        <item t="default"/>
      </items>
    </pivotField>
    <pivotField showAll="0"/>
    <pivotField showAll="0"/>
    <pivotField showAll="0"/>
    <pivotField showAll="0"/>
  </pivotFields>
  <rowFields count="1">
    <field x="12"/>
  </rowFields>
  <rowItems count="4">
    <i>
      <x/>
    </i>
    <i>
      <x v="1"/>
    </i>
    <i>
      <x v="2"/>
    </i>
    <i>
      <x v="3"/>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1A1031-5771-044E-B03D-440BFDF6873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ttendance Status">
  <location ref="F16:G21"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axis="axisRow" showAll="0">
      <items count="5">
        <item x="0"/>
        <item x="2"/>
        <item x="3"/>
        <item x="1"/>
        <item t="default"/>
      </items>
    </pivotField>
    <pivotField showAll="0"/>
    <pivotField showAll="0"/>
    <pivotField showAll="0"/>
    <pivotField showAll="0"/>
  </pivotFields>
  <rowFields count="1">
    <field x="12"/>
  </rowFields>
  <rowItems count="5">
    <i>
      <x/>
    </i>
    <i>
      <x v="1"/>
    </i>
    <i>
      <x v="2"/>
    </i>
    <i>
      <x v="3"/>
    </i>
    <i t="grand">
      <x/>
    </i>
  </rowItems>
  <colItems count="1">
    <i/>
  </colItems>
  <dataFields count="1">
    <dataField name="Response" fld="0" subtotal="count" showDataAs="percentOfTotal" baseField="0" baseItem="0" numFmtId="9"/>
  </dataFields>
  <formats count="1">
    <format dxfId="1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990D54-20DE-7B41-8F34-03AC677E504B}"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terest in Future Meetings">
  <location ref="S17:T20"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showAll="0">
      <items count="3">
        <item x="1"/>
        <item x="0"/>
        <item t="default"/>
      </items>
    </pivotField>
    <pivotField showAll="0">
      <items count="5">
        <item x="0"/>
        <item x="2"/>
        <item x="3"/>
        <item x="1"/>
        <item t="default"/>
      </items>
    </pivotField>
    <pivotField showAll="0"/>
    <pivotField showAll="0"/>
    <pivotField axis="axisRow" showAll="0">
      <items count="3">
        <item x="0"/>
        <item x="1"/>
        <item t="default"/>
      </items>
    </pivotField>
    <pivotField showAll="0"/>
  </pivotFields>
  <rowFields count="1">
    <field x="15"/>
  </rowFields>
  <rowItems count="3">
    <i>
      <x/>
    </i>
    <i>
      <x v="1"/>
    </i>
    <i t="grand">
      <x/>
    </i>
  </rowItems>
  <colItems count="1">
    <i/>
  </colItems>
  <dataFields count="1">
    <dataField name="Response" fld="0"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5" count="1" selected="0">
            <x v="0"/>
          </reference>
        </references>
      </pivotArea>
    </chartFormat>
    <chartFormat chart="6"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2A9130-9EC7-BF4D-AF5E-272D8B7C7B4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pivotFields count="17">
    <pivotField dataField="1" showAll="0"/>
    <pivotField showAll="0">
      <items count="96">
        <item x="77"/>
        <item x="32"/>
        <item x="8"/>
        <item x="33"/>
        <item x="78"/>
        <item x="9"/>
        <item x="55"/>
        <item x="10"/>
        <item x="11"/>
        <item x="34"/>
        <item x="35"/>
        <item x="56"/>
        <item x="57"/>
        <item x="88"/>
        <item x="36"/>
        <item x="37"/>
        <item x="79"/>
        <item x="12"/>
        <item x="38"/>
        <item x="13"/>
        <item x="0"/>
        <item x="89"/>
        <item x="80"/>
        <item x="58"/>
        <item x="39"/>
        <item x="14"/>
        <item x="15"/>
        <item x="16"/>
        <item x="40"/>
        <item x="59"/>
        <item x="60"/>
        <item x="17"/>
        <item x="90"/>
        <item x="61"/>
        <item x="62"/>
        <item x="63"/>
        <item x="41"/>
        <item x="18"/>
        <item x="42"/>
        <item x="81"/>
        <item x="1"/>
        <item x="19"/>
        <item x="2"/>
        <item x="3"/>
        <item x="82"/>
        <item x="64"/>
        <item x="43"/>
        <item x="20"/>
        <item x="44"/>
        <item x="45"/>
        <item x="21"/>
        <item x="46"/>
        <item x="47"/>
        <item x="65"/>
        <item x="66"/>
        <item x="4"/>
        <item x="48"/>
        <item x="67"/>
        <item x="49"/>
        <item x="83"/>
        <item x="68"/>
        <item x="22"/>
        <item x="23"/>
        <item x="69"/>
        <item x="5"/>
        <item x="70"/>
        <item x="91"/>
        <item x="71"/>
        <item x="50"/>
        <item x="72"/>
        <item x="51"/>
        <item x="52"/>
        <item x="92"/>
        <item x="53"/>
        <item x="93"/>
        <item x="94"/>
        <item x="24"/>
        <item x="25"/>
        <item x="26"/>
        <item x="6"/>
        <item x="27"/>
        <item x="73"/>
        <item x="28"/>
        <item x="54"/>
        <item x="84"/>
        <item x="7"/>
        <item x="85"/>
        <item x="29"/>
        <item x="30"/>
        <item x="74"/>
        <item x="75"/>
        <item x="86"/>
        <item x="76"/>
        <item x="87"/>
        <item x="31"/>
        <item t="default"/>
      </items>
    </pivotField>
    <pivotField showAll="0">
      <items count="4">
        <item x="0"/>
        <item x="2"/>
        <item x="1"/>
        <item t="default"/>
      </items>
    </pivotField>
    <pivotField showAll="0"/>
    <pivotField showAll="0">
      <items count="7">
        <item x="0"/>
        <item x="1"/>
        <item x="3"/>
        <item x="4"/>
        <item x="5"/>
        <item x="2"/>
        <item t="default"/>
      </items>
    </pivotField>
    <pivotField showAll="0">
      <items count="7">
        <item x="0"/>
        <item x="1"/>
        <item x="2"/>
        <item x="3"/>
        <item x="4"/>
        <item x="5"/>
        <item t="default"/>
      </items>
    </pivotField>
    <pivotField showAll="0"/>
    <pivotField showAll="0">
      <items count="3">
        <item x="1"/>
        <item x="0"/>
        <item t="default"/>
      </items>
    </pivotField>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s>
  <rowFields count="1">
    <field x="11"/>
  </rowFields>
  <rowItems count="3">
    <i>
      <x/>
    </i>
    <i>
      <x v="1"/>
    </i>
    <i t="grand">
      <x/>
    </i>
  </rowItems>
  <colItems count="1">
    <i/>
  </colItems>
  <dataFields count="1">
    <dataField name="Count of ID" fld="0" subtotal="count" showDataAs="percentOfTotal" baseField="0" baseItem="0" numFmtId="10"/>
  </dataFields>
  <formats count="3">
    <format dxfId="13">
      <pivotArea collapsedLevelsAreSubtotals="1" fieldPosition="0">
        <references count="1">
          <reference field="11" count="1">
            <x v="0"/>
          </reference>
        </references>
      </pivotArea>
    </format>
    <format dxfId="12">
      <pivotArea collapsedLevelsAreSubtotals="1" fieldPosition="0">
        <references count="1">
          <reference field="11" count="1">
            <x v="1"/>
          </reference>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5DBED1D-B692-6943-8577-63A0FF43D892}" sourceName="Department">
  <pivotTables>
    <pivotTable tabId="13" name="PivotTable3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1"/>
    <pivotTable tabId="13" name="PivotTable32"/>
  </pivotTables>
  <data>
    <tabular pivotCacheId="77008296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ors_Status" xr10:uid="{3A2D35C9-E51C-BA4C-BA00-C0CAE3133A88}" sourceName="Superviors Status">
  <pivotTables>
    <pivotTable tabId="13" name="PivotTable30"/>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29"/>
    <pivotTable tabId="13" name="PivotTable31"/>
    <pivotTable tabId="13" name="PivotTable32"/>
  </pivotTables>
  <data>
    <tabular pivotCacheId="7700829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Service" xr10:uid="{F750AEE8-A691-C243-AC61-BDF8E0DA4C1E}" sourceName="Years of Service">
  <pivotTables>
    <pivotTable tabId="13" name="PivotTable29"/>
    <pivotTable tabId="13" name="PivotTable21"/>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30"/>
    <pivotTable tabId="13" name="PivotTable31"/>
    <pivotTable tabId="13" name="PivotTable32"/>
  </pivotTables>
  <data>
    <tabular pivotCacheId="770082965">
      <items count="6">
        <i x="0" s="1"/>
        <i x="3" s="1"/>
        <i x="1"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CAA5E0D-B19B-3440-AD2B-76680A821B39}" cache="Slicer_Department" caption="Department" rowHeight="237744"/>
  <slicer name="Superviors Status" xr10:uid="{B222A988-410C-7C41-8783-D9D622D5DF3F}" cache="Slicer_Superviors_Status" caption="Superviors Status" rowHeight="274320"/>
  <slicer name="Years of Service" xr10:uid="{4CEC2CDF-7291-0944-BE5C-8F050529B5B0}" cache="Slicer_Years_of_Service" caption="Years of Service" columnCount="2" rowHeight="20116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5064C-E380-9C42-A092-CFE34D7EB46C}" name="Table" displayName="Table" ref="A1:Q96" totalsRowShown="0" headerRowDxfId="23" headerRowBorderDxfId="22" tableBorderDxfId="21">
  <autoFilter ref="A1:Q96" xr:uid="{2AD5064C-E380-9C42-A092-CFE34D7EB46C}"/>
  <sortState xmlns:xlrd2="http://schemas.microsoft.com/office/spreadsheetml/2017/richdata2" ref="A2:Q96">
    <sortCondition ref="F2:F96"/>
  </sortState>
  <tableColumns count="17">
    <tableColumn id="19" xr3:uid="{8BE98FC4-447E-6946-BE46-3E49570FA6A9}" name="ID"/>
    <tableColumn id="1" xr3:uid="{10E3E439-AF05-5840-9BBE-0547D585CB00}" name="Staff Name"/>
    <tableColumn id="2" xr3:uid="{0FC07B0E-E994-344C-8430-6403B60C1A75}" name="Department"/>
    <tableColumn id="3" xr3:uid="{7F595E3C-9111-6C41-BB67-70796E6FEBC7}" name="Division"/>
    <tableColumn id="4" xr3:uid="{E914D42D-799A-7A4B-B52F-9B9DF6C7F489}" name="Years of Service" dataDxfId="20"/>
    <tableColumn id="17" xr3:uid="{BC1C2809-A889-5A4D-A0AF-6F904A2CA082}" name="Sort by YOS" dataDxfId="19">
      <calculatedColumnFormula>MATCH(Table[[#This Row],[Years of Service]], {"&lt;1","1-5","6-10","11-20","21-30","31-40","40+"}, 0)</calculatedColumnFormula>
    </tableColumn>
    <tableColumn id="5" xr3:uid="{C07E8D23-23BA-C443-A0A5-7A09DEC7739D}" name="Supervisor"/>
    <tableColumn id="13" xr3:uid="{34E66D65-DE13-954E-AD6A-4E8A9152BA92}" name="Superviors Status" dataDxfId="18"/>
    <tableColumn id="6" xr3:uid="{31DBDF2F-5AC7-F84B-B36C-762FC971D679}" name="Aware: Safety &amp; Wellness Office" dataDxfId="17"/>
    <tableColumn id="7" xr3:uid="{8C5B4378-E5D1-214D-8911-CA3FB1C2934A}" name="Aware: Monthly Meetings" dataDxfId="16"/>
    <tableColumn id="14" xr3:uid="{BE73EDD1-E8BF-3943-8E2A-1ACA58817CE4}" name="Awareness Status" dataDxfId="15">
      <calculatedColumnFormula array="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calculatedColumnFormula>
    </tableColumn>
    <tableColumn id="8" xr3:uid="{6A4195B7-123C-7243-9B15-8E25F1F99D93}" name="Attended in Past 3 Years"/>
    <tableColumn id="18" xr3:uid="{24815D0B-BE0C-614D-9016-C83951F17E1C}" name="Attendance Status" dataDxfId="14">
      <calculatedColumnFormula array="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calculatedColumnFormula>
    </tableColumn>
    <tableColumn id="9" xr3:uid="{B72FD687-B87F-FE49-BC68-872529D49233}" name="Reason for Not Attending (open)"/>
    <tableColumn id="10" xr3:uid="{CA67FDAC-901A-5141-8952-9663394BB853}" name="Barrier (What Prevented You)"/>
    <tableColumn id="11" xr3:uid="{8D954431-DE91-2B4C-BDE6-B7B0E55C9D15}" name="Interest in Future Meetings (Yes/No)"/>
    <tableColumn id="12" xr3:uid="{70A1B286-2CB7-B643-870F-FD2E9A2114BF}" name="Would You Be Interested? (Yes/No/Unsure/Unsure)"/>
  </tableColumns>
  <tableStyleInfo name="TableStyleLight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6"/>
  <sheetViews>
    <sheetView workbookViewId="0">
      <selection activeCell="I1" sqref="I1"/>
    </sheetView>
  </sheetViews>
  <sheetFormatPr defaultColWidth="8.81640625" defaultRowHeight="14.5" x14ac:dyDescent="0.35"/>
  <cols>
    <col min="1" max="1" width="11.6328125" customWidth="1"/>
    <col min="2" max="2" width="15.6328125" bestFit="1" customWidth="1"/>
    <col min="3" max="3" width="12.36328125" bestFit="1" customWidth="1"/>
    <col min="4" max="5" width="15.453125" customWidth="1"/>
    <col min="6" max="6" width="14.36328125" style="9" bestFit="1" customWidth="1"/>
    <col min="7" max="7" width="14.36328125" customWidth="1"/>
    <col min="8" max="8" width="27.81640625" customWidth="1"/>
    <col min="9" max="10" width="23.6328125" customWidth="1"/>
    <col min="11" max="12" width="28.1796875" customWidth="1"/>
    <col min="13" max="13" width="26.1796875" customWidth="1"/>
    <col min="14" max="14" width="31.6328125" customWidth="1"/>
    <col min="15" max="15" width="34.81640625" bestFit="1" customWidth="1"/>
    <col min="16" max="16" width="46.81640625" bestFit="1" customWidth="1"/>
  </cols>
  <sheetData>
    <row r="1" spans="1:17" x14ac:dyDescent="0.35">
      <c r="A1" s="1" t="s">
        <v>210</v>
      </c>
      <c r="B1" s="1" t="s">
        <v>0</v>
      </c>
      <c r="C1" s="1" t="s">
        <v>1</v>
      </c>
      <c r="D1" s="1" t="s">
        <v>2</v>
      </c>
      <c r="E1" s="6" t="s">
        <v>3</v>
      </c>
      <c r="F1" s="8" t="s">
        <v>207</v>
      </c>
      <c r="G1" s="1" t="s">
        <v>4</v>
      </c>
      <c r="H1" s="1" t="s">
        <v>204</v>
      </c>
      <c r="I1" s="1" t="s">
        <v>5</v>
      </c>
      <c r="J1" s="1" t="s">
        <v>6</v>
      </c>
      <c r="K1" s="1" t="s">
        <v>206</v>
      </c>
      <c r="L1" s="1" t="s">
        <v>7</v>
      </c>
      <c r="M1" s="1" t="s">
        <v>209</v>
      </c>
      <c r="N1" s="1" t="s">
        <v>8</v>
      </c>
      <c r="O1" s="1" t="s">
        <v>9</v>
      </c>
      <c r="P1" s="1" t="s">
        <v>10</v>
      </c>
      <c r="Q1" s="1" t="s">
        <v>202</v>
      </c>
    </row>
    <row r="2" spans="1:17" x14ac:dyDescent="0.35">
      <c r="A2">
        <v>1</v>
      </c>
      <c r="B2" t="s">
        <v>31</v>
      </c>
      <c r="C2" t="s">
        <v>108</v>
      </c>
      <c r="D2" t="s">
        <v>126</v>
      </c>
      <c r="E2" s="7" t="s">
        <v>200</v>
      </c>
      <c r="F2" s="9">
        <f>MATCH(Table[[#This Row],[Years of Service]], {"&lt;1","1-5","6-10","11-20","21-30","31-40","40+"}, 0)</f>
        <v>1</v>
      </c>
      <c r="G2" t="s">
        <v>188</v>
      </c>
      <c r="H2" t="s">
        <v>4</v>
      </c>
      <c r="I2" t="s">
        <v>188</v>
      </c>
      <c r="J2" t="s">
        <v>188</v>
      </c>
      <c r="K2" t="str" cm="1">
        <f t="array" ref="K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 t="s">
        <v>188</v>
      </c>
      <c r="M2" t="str" cm="1">
        <f t="array" ref="M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2" t="s">
        <v>199</v>
      </c>
      <c r="P2" t="s">
        <v>188</v>
      </c>
      <c r="Q2" t="s">
        <v>188</v>
      </c>
    </row>
    <row r="3" spans="1:17" x14ac:dyDescent="0.35">
      <c r="A3">
        <v>2</v>
      </c>
      <c r="B3" t="s">
        <v>51</v>
      </c>
      <c r="C3" t="s">
        <v>106</v>
      </c>
      <c r="D3" t="s">
        <v>142</v>
      </c>
      <c r="E3" s="7" t="s">
        <v>200</v>
      </c>
      <c r="F3" s="9">
        <f>MATCH(Table[[#This Row],[Years of Service]], {"&lt;1","1-5","6-10","11-20","21-30","31-40","40+"}, 0)</f>
        <v>1</v>
      </c>
      <c r="G3" t="s">
        <v>189</v>
      </c>
      <c r="H3" t="s">
        <v>205</v>
      </c>
      <c r="I3" t="s">
        <v>189</v>
      </c>
      <c r="J3" t="s">
        <v>189</v>
      </c>
      <c r="K3" t="str" cm="1">
        <f t="array" ref="K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3" t="s">
        <v>189</v>
      </c>
      <c r="M3" t="str" cm="1">
        <f t="array" ref="M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3" t="s">
        <v>191</v>
      </c>
      <c r="O3" t="s">
        <v>203</v>
      </c>
      <c r="P3" t="s">
        <v>189</v>
      </c>
      <c r="Q3" t="s">
        <v>201</v>
      </c>
    </row>
    <row r="4" spans="1:17" x14ac:dyDescent="0.35">
      <c r="A4">
        <v>3</v>
      </c>
      <c r="B4" t="s">
        <v>53</v>
      </c>
      <c r="C4" t="s">
        <v>108</v>
      </c>
      <c r="D4" t="s">
        <v>144</v>
      </c>
      <c r="E4" s="7" t="s">
        <v>200</v>
      </c>
      <c r="F4" s="9">
        <f>MATCH(Table[[#This Row],[Years of Service]], {"&lt;1","1-5","6-10","11-20","21-30","31-40","40+"}, 0)</f>
        <v>1</v>
      </c>
      <c r="G4" t="s">
        <v>188</v>
      </c>
      <c r="H4" t="s">
        <v>4</v>
      </c>
      <c r="I4" t="s">
        <v>188</v>
      </c>
      <c r="J4" t="s">
        <v>188</v>
      </c>
      <c r="K4" t="str" cm="1">
        <f t="array" ref="K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 t="s">
        <v>189</v>
      </c>
      <c r="M4" t="str" cm="1">
        <f t="array" ref="M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4" t="s">
        <v>192</v>
      </c>
      <c r="O4" t="s">
        <v>199</v>
      </c>
      <c r="P4" t="s">
        <v>188</v>
      </c>
      <c r="Q4" t="s">
        <v>188</v>
      </c>
    </row>
    <row r="5" spans="1:17" x14ac:dyDescent="0.35">
      <c r="A5">
        <v>4</v>
      </c>
      <c r="B5" t="s">
        <v>54</v>
      </c>
      <c r="C5" t="s">
        <v>108</v>
      </c>
      <c r="D5" t="s">
        <v>145</v>
      </c>
      <c r="E5" s="7" t="s">
        <v>200</v>
      </c>
      <c r="F5" s="9">
        <f>MATCH(Table[[#This Row],[Years of Service]], {"&lt;1","1-5","6-10","11-20","21-30","31-40","40+"}, 0)</f>
        <v>1</v>
      </c>
      <c r="G5" t="s">
        <v>188</v>
      </c>
      <c r="H5" t="s">
        <v>4</v>
      </c>
      <c r="I5" t="s">
        <v>188</v>
      </c>
      <c r="J5" t="s">
        <v>189</v>
      </c>
      <c r="K5" t="str" cm="1">
        <f t="array" ref="K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5" t="s">
        <v>189</v>
      </c>
      <c r="M5" t="str" cm="1">
        <f t="array" ref="M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5" t="s">
        <v>193</v>
      </c>
      <c r="O5" t="s">
        <v>198</v>
      </c>
      <c r="P5" t="s">
        <v>188</v>
      </c>
      <c r="Q5" t="s">
        <v>201</v>
      </c>
    </row>
    <row r="6" spans="1:17" x14ac:dyDescent="0.35">
      <c r="A6">
        <v>5</v>
      </c>
      <c r="B6" t="s">
        <v>66</v>
      </c>
      <c r="C6" t="s">
        <v>106</v>
      </c>
      <c r="D6" t="s">
        <v>155</v>
      </c>
      <c r="E6" s="7" t="s">
        <v>200</v>
      </c>
      <c r="F6" s="9">
        <f>MATCH(Table[[#This Row],[Years of Service]], {"&lt;1","1-5","6-10","11-20","21-30","31-40","40+"}, 0)</f>
        <v>1</v>
      </c>
      <c r="G6" t="s">
        <v>189</v>
      </c>
      <c r="H6" t="s">
        <v>205</v>
      </c>
      <c r="I6" t="s">
        <v>188</v>
      </c>
      <c r="J6" t="s">
        <v>188</v>
      </c>
      <c r="K6" t="str" cm="1">
        <f t="array" ref="K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 t="s">
        <v>189</v>
      </c>
      <c r="M6" t="str" cm="1">
        <f t="array" ref="M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6" t="s">
        <v>190</v>
      </c>
      <c r="O6" t="s">
        <v>203</v>
      </c>
      <c r="P6" t="s">
        <v>188</v>
      </c>
      <c r="Q6" t="s">
        <v>201</v>
      </c>
    </row>
    <row r="7" spans="1:17" x14ac:dyDescent="0.35">
      <c r="A7">
        <v>6</v>
      </c>
      <c r="B7" t="s">
        <v>75</v>
      </c>
      <c r="C7" t="s">
        <v>107</v>
      </c>
      <c r="D7" t="s">
        <v>163</v>
      </c>
      <c r="E7" s="7" t="s">
        <v>200</v>
      </c>
      <c r="F7" s="9">
        <f>MATCH(Table[[#This Row],[Years of Service]], {"&lt;1","1-5","6-10","11-20","21-30","31-40","40+"}, 0)</f>
        <v>1</v>
      </c>
      <c r="G7" t="s">
        <v>189</v>
      </c>
      <c r="H7" t="s">
        <v>205</v>
      </c>
      <c r="I7" t="s">
        <v>188</v>
      </c>
      <c r="J7" t="s">
        <v>189</v>
      </c>
      <c r="K7" t="str" cm="1">
        <f t="array" ref="K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7" t="s">
        <v>189</v>
      </c>
      <c r="M7" t="str" cm="1">
        <f t="array" ref="M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7" t="s">
        <v>193</v>
      </c>
      <c r="O7" t="s">
        <v>198</v>
      </c>
      <c r="P7" t="s">
        <v>188</v>
      </c>
      <c r="Q7" t="s">
        <v>188</v>
      </c>
    </row>
    <row r="8" spans="1:17" x14ac:dyDescent="0.35">
      <c r="A8">
        <v>7</v>
      </c>
      <c r="B8" t="s">
        <v>90</v>
      </c>
      <c r="C8" t="s">
        <v>108</v>
      </c>
      <c r="D8" t="s">
        <v>172</v>
      </c>
      <c r="E8" s="7" t="s">
        <v>200</v>
      </c>
      <c r="F8" s="9">
        <f>MATCH(Table[[#This Row],[Years of Service]], {"&lt;1","1-5","6-10","11-20","21-30","31-40","40+"}, 0)</f>
        <v>1</v>
      </c>
      <c r="G8" t="s">
        <v>189</v>
      </c>
      <c r="H8" t="s">
        <v>205</v>
      </c>
      <c r="I8" t="s">
        <v>189</v>
      </c>
      <c r="J8" t="s">
        <v>189</v>
      </c>
      <c r="K8" t="str" cm="1">
        <f t="array" ref="K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8" t="s">
        <v>189</v>
      </c>
      <c r="M8" t="str" cm="1">
        <f t="array" ref="M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8" t="s">
        <v>193</v>
      </c>
      <c r="O8" t="s">
        <v>198</v>
      </c>
      <c r="P8" t="s">
        <v>188</v>
      </c>
      <c r="Q8" t="s">
        <v>201</v>
      </c>
    </row>
    <row r="9" spans="1:17" x14ac:dyDescent="0.35">
      <c r="A9">
        <v>8</v>
      </c>
      <c r="B9" t="s">
        <v>96</v>
      </c>
      <c r="C9" t="s">
        <v>106</v>
      </c>
      <c r="D9" t="s">
        <v>132</v>
      </c>
      <c r="E9" s="7" t="s">
        <v>200</v>
      </c>
      <c r="F9" s="9">
        <f>MATCH(Table[[#This Row],[Years of Service]], {"&lt;1","1-5","6-10","11-20","21-30","31-40","40+"}, 0)</f>
        <v>1</v>
      </c>
      <c r="G9" t="s">
        <v>188</v>
      </c>
      <c r="H9" t="s">
        <v>4</v>
      </c>
      <c r="I9" t="s">
        <v>188</v>
      </c>
      <c r="J9" t="s">
        <v>188</v>
      </c>
      <c r="K9" t="str" cm="1">
        <f t="array" ref="K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 t="s">
        <v>189</v>
      </c>
      <c r="M9" t="str" cm="1">
        <f t="array" ref="M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9" t="s">
        <v>192</v>
      </c>
      <c r="O9" t="s">
        <v>198</v>
      </c>
      <c r="P9" t="s">
        <v>188</v>
      </c>
      <c r="Q9" t="s">
        <v>188</v>
      </c>
    </row>
    <row r="10" spans="1:17" x14ac:dyDescent="0.35">
      <c r="A10">
        <v>9</v>
      </c>
      <c r="B10" t="s">
        <v>13</v>
      </c>
      <c r="C10" t="s">
        <v>108</v>
      </c>
      <c r="D10" t="s">
        <v>111</v>
      </c>
      <c r="E10" s="7" t="s">
        <v>185</v>
      </c>
      <c r="F10" s="9">
        <f>MATCH(Table[[#This Row],[Years of Service]], {"&lt;1","1-5","6-10","11-20","21-30","31-40","40+"}, 0)</f>
        <v>2</v>
      </c>
      <c r="G10" t="s">
        <v>189</v>
      </c>
      <c r="H10" t="s">
        <v>205</v>
      </c>
      <c r="I10" t="s">
        <v>188</v>
      </c>
      <c r="J10" t="s">
        <v>188</v>
      </c>
      <c r="K10" t="str" cm="1">
        <f t="array" ref="K1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0" t="s">
        <v>188</v>
      </c>
      <c r="M10" t="str" cm="1">
        <f t="array" ref="M1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10" t="s">
        <v>199</v>
      </c>
      <c r="P10" t="s">
        <v>188</v>
      </c>
      <c r="Q10" t="s">
        <v>188</v>
      </c>
    </row>
    <row r="11" spans="1:17" x14ac:dyDescent="0.35">
      <c r="A11">
        <v>10</v>
      </c>
      <c r="B11" t="s">
        <v>16</v>
      </c>
      <c r="C11" t="s">
        <v>107</v>
      </c>
      <c r="D11" t="s">
        <v>114</v>
      </c>
      <c r="E11" s="7" t="s">
        <v>185</v>
      </c>
      <c r="F11" s="9">
        <f>MATCH(Table[[#This Row],[Years of Service]], {"&lt;1","1-5","6-10","11-20","21-30","31-40","40+"}, 0)</f>
        <v>2</v>
      </c>
      <c r="G11" t="s">
        <v>189</v>
      </c>
      <c r="H11" t="s">
        <v>205</v>
      </c>
      <c r="I11" t="s">
        <v>188</v>
      </c>
      <c r="J11" t="s">
        <v>188</v>
      </c>
      <c r="K11" t="str" cm="1">
        <f t="array" ref="K1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1" t="s">
        <v>189</v>
      </c>
      <c r="M11" t="str" cm="1">
        <f t="array" ref="M1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11" t="s">
        <v>191</v>
      </c>
      <c r="O11" t="s">
        <v>203</v>
      </c>
      <c r="P11" t="s">
        <v>188</v>
      </c>
      <c r="Q11" t="s">
        <v>188</v>
      </c>
    </row>
    <row r="12" spans="1:17" x14ac:dyDescent="0.35">
      <c r="A12">
        <v>11</v>
      </c>
      <c r="B12" t="s">
        <v>18</v>
      </c>
      <c r="C12" t="s">
        <v>106</v>
      </c>
      <c r="D12" t="s">
        <v>116</v>
      </c>
      <c r="E12" s="7" t="s">
        <v>185</v>
      </c>
      <c r="F12" s="9">
        <f>MATCH(Table[[#This Row],[Years of Service]], {"&lt;1","1-5","6-10","11-20","21-30","31-40","40+"}, 0)</f>
        <v>2</v>
      </c>
      <c r="G12" t="s">
        <v>189</v>
      </c>
      <c r="H12" t="s">
        <v>205</v>
      </c>
      <c r="I12" t="s">
        <v>189</v>
      </c>
      <c r="J12" t="s">
        <v>189</v>
      </c>
      <c r="K12" t="str" cm="1">
        <f t="array" ref="K1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12" t="s">
        <v>189</v>
      </c>
      <c r="M12" t="str" cm="1">
        <f t="array" ref="M1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12" t="s">
        <v>193</v>
      </c>
      <c r="O12" t="s">
        <v>198</v>
      </c>
      <c r="P12" t="s">
        <v>188</v>
      </c>
      <c r="Q12" t="s">
        <v>188</v>
      </c>
    </row>
    <row r="13" spans="1:17" x14ac:dyDescent="0.35">
      <c r="A13">
        <v>12</v>
      </c>
      <c r="B13" t="s">
        <v>19</v>
      </c>
      <c r="C13" t="s">
        <v>107</v>
      </c>
      <c r="D13" t="s">
        <v>117</v>
      </c>
      <c r="E13" s="7" t="s">
        <v>185</v>
      </c>
      <c r="F13" s="9">
        <f>MATCH(Table[[#This Row],[Years of Service]], {"&lt;1","1-5","6-10","11-20","21-30","31-40","40+"}, 0)</f>
        <v>2</v>
      </c>
      <c r="G13" t="s">
        <v>189</v>
      </c>
      <c r="H13" t="s">
        <v>205</v>
      </c>
      <c r="I13" t="s">
        <v>188</v>
      </c>
      <c r="J13" t="s">
        <v>188</v>
      </c>
      <c r="K13" t="str" cm="1">
        <f t="array" ref="K1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3" t="s">
        <v>189</v>
      </c>
      <c r="M13" t="str" cm="1">
        <f t="array" ref="M1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13" t="s">
        <v>192</v>
      </c>
      <c r="O13" t="s">
        <v>203</v>
      </c>
      <c r="P13" t="s">
        <v>189</v>
      </c>
      <c r="Q13" t="s">
        <v>189</v>
      </c>
    </row>
    <row r="14" spans="1:17" x14ac:dyDescent="0.35">
      <c r="A14">
        <v>13</v>
      </c>
      <c r="B14" t="s">
        <v>28</v>
      </c>
      <c r="C14" t="s">
        <v>106</v>
      </c>
      <c r="D14" t="s">
        <v>125</v>
      </c>
      <c r="E14" s="7" t="s">
        <v>185</v>
      </c>
      <c r="F14" s="9">
        <f>MATCH(Table[[#This Row],[Years of Service]], {"&lt;1","1-5","6-10","11-20","21-30","31-40","40+"}, 0)</f>
        <v>2</v>
      </c>
      <c r="G14" t="s">
        <v>189</v>
      </c>
      <c r="H14" t="s">
        <v>205</v>
      </c>
      <c r="I14" t="s">
        <v>188</v>
      </c>
      <c r="J14" t="s">
        <v>189</v>
      </c>
      <c r="K14" t="str" cm="1">
        <f t="array" ref="K1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14" t="s">
        <v>189</v>
      </c>
      <c r="M14" t="str" cm="1">
        <f t="array" ref="M1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14" t="s">
        <v>193</v>
      </c>
      <c r="O14" t="s">
        <v>198</v>
      </c>
      <c r="P14" t="s">
        <v>188</v>
      </c>
      <c r="Q14" t="s">
        <v>188</v>
      </c>
    </row>
    <row r="15" spans="1:17" x14ac:dyDescent="0.35">
      <c r="A15">
        <v>14</v>
      </c>
      <c r="B15" t="s">
        <v>30</v>
      </c>
      <c r="C15" t="s">
        <v>108</v>
      </c>
      <c r="D15" t="s">
        <v>127</v>
      </c>
      <c r="E15" s="7" t="s">
        <v>185</v>
      </c>
      <c r="F15" s="9">
        <f>MATCH(Table[[#This Row],[Years of Service]], {"&lt;1","1-5","6-10","11-20","21-30","31-40","40+"}, 0)</f>
        <v>2</v>
      </c>
      <c r="G15" t="s">
        <v>189</v>
      </c>
      <c r="H15" t="s">
        <v>205</v>
      </c>
      <c r="I15" t="s">
        <v>188</v>
      </c>
      <c r="J15" t="s">
        <v>188</v>
      </c>
      <c r="K15" t="str" cm="1">
        <f t="array" ref="K1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5" t="s">
        <v>188</v>
      </c>
      <c r="M15" t="str" cm="1">
        <f t="array" ref="M1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15" t="s">
        <v>199</v>
      </c>
      <c r="P15" t="s">
        <v>189</v>
      </c>
      <c r="Q15" t="s">
        <v>189</v>
      </c>
    </row>
    <row r="16" spans="1:17" x14ac:dyDescent="0.35">
      <c r="A16">
        <v>15</v>
      </c>
      <c r="B16" t="s">
        <v>36</v>
      </c>
      <c r="C16" t="s">
        <v>107</v>
      </c>
      <c r="D16" t="s">
        <v>131</v>
      </c>
      <c r="E16" s="7" t="s">
        <v>185</v>
      </c>
      <c r="F16" s="9">
        <f>MATCH(Table[[#This Row],[Years of Service]], {"&lt;1","1-5","6-10","11-20","21-30","31-40","40+"}, 0)</f>
        <v>2</v>
      </c>
      <c r="G16" t="s">
        <v>189</v>
      </c>
      <c r="H16" t="s">
        <v>205</v>
      </c>
      <c r="I16" t="s">
        <v>188</v>
      </c>
      <c r="J16" t="s">
        <v>188</v>
      </c>
      <c r="K16" t="str" cm="1">
        <f t="array" ref="K1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6" t="s">
        <v>188</v>
      </c>
      <c r="M16" t="str" cm="1">
        <f t="array" ref="M1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16" t="s">
        <v>199</v>
      </c>
      <c r="P16" t="s">
        <v>188</v>
      </c>
      <c r="Q16" t="s">
        <v>201</v>
      </c>
    </row>
    <row r="17" spans="1:24" x14ac:dyDescent="0.35">
      <c r="A17">
        <v>16</v>
      </c>
      <c r="B17" t="s">
        <v>37</v>
      </c>
      <c r="C17" t="s">
        <v>108</v>
      </c>
      <c r="D17" t="s">
        <v>123</v>
      </c>
      <c r="E17" s="7" t="s">
        <v>185</v>
      </c>
      <c r="F17" s="9">
        <f>MATCH(Table[[#This Row],[Years of Service]], {"&lt;1","1-5","6-10","11-20","21-30","31-40","40+"}, 0)</f>
        <v>2</v>
      </c>
      <c r="G17" t="s">
        <v>189</v>
      </c>
      <c r="H17" t="s">
        <v>205</v>
      </c>
      <c r="I17" t="s">
        <v>188</v>
      </c>
      <c r="J17" t="s">
        <v>188</v>
      </c>
      <c r="K17" t="str" cm="1">
        <f t="array" ref="K1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7" t="s">
        <v>189</v>
      </c>
      <c r="M17" t="str" cm="1">
        <f t="array" ref="M1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17" t="s">
        <v>191</v>
      </c>
      <c r="O17" t="s">
        <v>199</v>
      </c>
      <c r="P17" t="s">
        <v>188</v>
      </c>
      <c r="Q17" t="s">
        <v>188</v>
      </c>
    </row>
    <row r="18" spans="1:24" x14ac:dyDescent="0.35">
      <c r="A18">
        <v>17</v>
      </c>
      <c r="B18" t="s">
        <v>38</v>
      </c>
      <c r="C18" t="s">
        <v>106</v>
      </c>
      <c r="D18" t="s">
        <v>132</v>
      </c>
      <c r="E18" s="7" t="s">
        <v>185</v>
      </c>
      <c r="F18" s="9">
        <f>MATCH(Table[[#This Row],[Years of Service]], {"&lt;1","1-5","6-10","11-20","21-30","31-40","40+"}, 0)</f>
        <v>2</v>
      </c>
      <c r="G18" t="s">
        <v>189</v>
      </c>
      <c r="H18" t="s">
        <v>205</v>
      </c>
      <c r="I18" t="s">
        <v>188</v>
      </c>
      <c r="J18" t="s">
        <v>188</v>
      </c>
      <c r="K18" t="str" cm="1">
        <f t="array" ref="K1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8" t="s">
        <v>188</v>
      </c>
      <c r="M18" t="str" cm="1">
        <f t="array" ref="M1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18" t="s">
        <v>199</v>
      </c>
      <c r="P18" t="s">
        <v>188</v>
      </c>
      <c r="Q18" t="s">
        <v>188</v>
      </c>
    </row>
    <row r="19" spans="1:24" x14ac:dyDescent="0.35">
      <c r="A19">
        <v>18</v>
      </c>
      <c r="B19" t="s">
        <v>42</v>
      </c>
      <c r="C19" t="s">
        <v>106</v>
      </c>
      <c r="D19" t="s">
        <v>135</v>
      </c>
      <c r="E19" s="7" t="s">
        <v>185</v>
      </c>
      <c r="F19" s="9">
        <f>MATCH(Table[[#This Row],[Years of Service]], {"&lt;1","1-5","6-10","11-20","21-30","31-40","40+"}, 0)</f>
        <v>2</v>
      </c>
      <c r="G19" t="s">
        <v>189</v>
      </c>
      <c r="H19" t="s">
        <v>205</v>
      </c>
      <c r="I19" t="s">
        <v>188</v>
      </c>
      <c r="J19" t="s">
        <v>188</v>
      </c>
      <c r="K19" t="str" cm="1">
        <f t="array" ref="K1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19" t="s">
        <v>189</v>
      </c>
      <c r="M19" t="str" cm="1">
        <f t="array" ref="M1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19" t="s">
        <v>193</v>
      </c>
      <c r="O19" t="s">
        <v>199</v>
      </c>
      <c r="P19" t="s">
        <v>188</v>
      </c>
      <c r="Q19" t="s">
        <v>188</v>
      </c>
    </row>
    <row r="20" spans="1:24" x14ac:dyDescent="0.35">
      <c r="A20">
        <v>19</v>
      </c>
      <c r="B20" t="s">
        <v>48</v>
      </c>
      <c r="C20" t="s">
        <v>107</v>
      </c>
      <c r="D20" t="s">
        <v>139</v>
      </c>
      <c r="E20" s="7" t="s">
        <v>185</v>
      </c>
      <c r="F20" s="9">
        <f>MATCH(Table[[#This Row],[Years of Service]], {"&lt;1","1-5","6-10","11-20","21-30","31-40","40+"}, 0)</f>
        <v>2</v>
      </c>
      <c r="G20" t="s">
        <v>188</v>
      </c>
      <c r="H20" t="s">
        <v>4</v>
      </c>
      <c r="I20" t="s">
        <v>188</v>
      </c>
      <c r="J20" t="s">
        <v>189</v>
      </c>
      <c r="K20" t="str" cm="1">
        <f t="array" ref="K2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20" t="s">
        <v>189</v>
      </c>
      <c r="M20" t="str" cm="1">
        <f t="array" ref="M2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20" t="s">
        <v>193</v>
      </c>
      <c r="O20" t="s">
        <v>198</v>
      </c>
      <c r="P20" t="s">
        <v>188</v>
      </c>
      <c r="Q20" t="s">
        <v>188</v>
      </c>
    </row>
    <row r="21" spans="1:24" x14ac:dyDescent="0.35">
      <c r="A21">
        <v>20</v>
      </c>
      <c r="B21" t="s">
        <v>52</v>
      </c>
      <c r="C21" t="s">
        <v>106</v>
      </c>
      <c r="D21" t="s">
        <v>143</v>
      </c>
      <c r="E21" s="7" t="s">
        <v>185</v>
      </c>
      <c r="F21" s="9">
        <f>MATCH(Table[[#This Row],[Years of Service]], {"&lt;1","1-5","6-10","11-20","21-30","31-40","40+"}, 0)</f>
        <v>2</v>
      </c>
      <c r="G21" t="s">
        <v>189</v>
      </c>
      <c r="H21" t="s">
        <v>205</v>
      </c>
      <c r="I21" t="s">
        <v>189</v>
      </c>
      <c r="J21" t="s">
        <v>189</v>
      </c>
      <c r="K21" t="str" cm="1">
        <f t="array" ref="K2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21" t="s">
        <v>189</v>
      </c>
      <c r="M21" t="str" cm="1">
        <f t="array" ref="M2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21" t="s">
        <v>193</v>
      </c>
      <c r="O21" t="s">
        <v>198</v>
      </c>
      <c r="P21" t="s">
        <v>188</v>
      </c>
      <c r="Q21" t="s">
        <v>189</v>
      </c>
    </row>
    <row r="22" spans="1:24" x14ac:dyDescent="0.35">
      <c r="A22">
        <v>21</v>
      </c>
      <c r="B22" t="s">
        <v>58</v>
      </c>
      <c r="C22" t="s">
        <v>106</v>
      </c>
      <c r="D22" t="s">
        <v>148</v>
      </c>
      <c r="E22" s="7" t="s">
        <v>185</v>
      </c>
      <c r="F22" s="9">
        <f>MATCH(Table[[#This Row],[Years of Service]], {"&lt;1","1-5","6-10","11-20","21-30","31-40","40+"}, 0)</f>
        <v>2</v>
      </c>
      <c r="G22" t="s">
        <v>188</v>
      </c>
      <c r="H22" t="s">
        <v>4</v>
      </c>
      <c r="I22" t="s">
        <v>188</v>
      </c>
      <c r="J22" t="s">
        <v>188</v>
      </c>
      <c r="K22" t="str" cm="1">
        <f t="array" ref="K2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2" t="s">
        <v>189</v>
      </c>
      <c r="M22" t="str" cm="1">
        <f t="array" ref="M2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22" t="s">
        <v>196</v>
      </c>
      <c r="O22" t="s">
        <v>198</v>
      </c>
      <c r="P22" t="s">
        <v>189</v>
      </c>
      <c r="Q22" t="s">
        <v>189</v>
      </c>
    </row>
    <row r="23" spans="1:24" x14ac:dyDescent="0.35">
      <c r="A23">
        <v>22</v>
      </c>
      <c r="B23" t="s">
        <v>61</v>
      </c>
      <c r="C23" t="s">
        <v>108</v>
      </c>
      <c r="D23" t="s">
        <v>150</v>
      </c>
      <c r="E23" s="7" t="s">
        <v>185</v>
      </c>
      <c r="F23" s="9">
        <f>MATCH(Table[[#This Row],[Years of Service]], {"&lt;1","1-5","6-10","11-20","21-30","31-40","40+"}, 0)</f>
        <v>2</v>
      </c>
      <c r="G23" t="s">
        <v>189</v>
      </c>
      <c r="H23" t="s">
        <v>205</v>
      </c>
      <c r="I23" t="s">
        <v>188</v>
      </c>
      <c r="J23" t="s">
        <v>188</v>
      </c>
      <c r="K23" t="str" cm="1">
        <f t="array" ref="K2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3" t="s">
        <v>188</v>
      </c>
      <c r="M23" t="str" cm="1">
        <f t="array" ref="M2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23" t="s">
        <v>198</v>
      </c>
      <c r="P23" t="s">
        <v>188</v>
      </c>
      <c r="Q23" t="s">
        <v>188</v>
      </c>
    </row>
    <row r="24" spans="1:24" x14ac:dyDescent="0.35">
      <c r="A24">
        <v>23</v>
      </c>
      <c r="B24" t="s">
        <v>72</v>
      </c>
      <c r="C24" t="s">
        <v>106</v>
      </c>
      <c r="D24" t="s">
        <v>161</v>
      </c>
      <c r="E24" s="7" t="s">
        <v>185</v>
      </c>
      <c r="F24" s="9">
        <f>MATCH(Table[[#This Row],[Years of Service]], {"&lt;1","1-5","6-10","11-20","21-30","31-40","40+"}, 0)</f>
        <v>2</v>
      </c>
      <c r="G24" t="s">
        <v>189</v>
      </c>
      <c r="H24" t="s">
        <v>205</v>
      </c>
      <c r="I24" t="s">
        <v>188</v>
      </c>
      <c r="J24" t="s">
        <v>188</v>
      </c>
      <c r="K24" t="str" cm="1">
        <f t="array" ref="K2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4" t="s">
        <v>188</v>
      </c>
      <c r="M24" t="str" cm="1">
        <f t="array" ref="M2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24" t="s">
        <v>199</v>
      </c>
      <c r="P24" t="s">
        <v>188</v>
      </c>
      <c r="Q24" t="s">
        <v>188</v>
      </c>
    </row>
    <row r="25" spans="1:24" x14ac:dyDescent="0.35">
      <c r="A25">
        <v>24</v>
      </c>
      <c r="B25" t="s">
        <v>73</v>
      </c>
      <c r="C25" t="s">
        <v>106</v>
      </c>
      <c r="D25" t="s">
        <v>162</v>
      </c>
      <c r="E25" s="7" t="s">
        <v>185</v>
      </c>
      <c r="F25" s="9">
        <f>MATCH(Table[[#This Row],[Years of Service]], {"&lt;1","1-5","6-10","11-20","21-30","31-40","40+"}, 0)</f>
        <v>2</v>
      </c>
      <c r="G25" t="s">
        <v>188</v>
      </c>
      <c r="H25" t="s">
        <v>4</v>
      </c>
      <c r="I25" t="s">
        <v>188</v>
      </c>
      <c r="J25" t="s">
        <v>188</v>
      </c>
      <c r="K25" t="str" cm="1">
        <f t="array" ref="K2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5" t="s">
        <v>189</v>
      </c>
      <c r="M25" t="str" cm="1">
        <f t="array" ref="M2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25" t="s">
        <v>190</v>
      </c>
      <c r="O25" t="s">
        <v>198</v>
      </c>
      <c r="P25" t="s">
        <v>188</v>
      </c>
      <c r="Q25" t="s">
        <v>188</v>
      </c>
    </row>
    <row r="26" spans="1:24" x14ac:dyDescent="0.35">
      <c r="A26">
        <v>25</v>
      </c>
      <c r="B26" t="s">
        <v>87</v>
      </c>
      <c r="C26" t="s">
        <v>108</v>
      </c>
      <c r="D26" t="s">
        <v>169</v>
      </c>
      <c r="E26" s="7" t="s">
        <v>185</v>
      </c>
      <c r="F26" s="9">
        <f>MATCH(Table[[#This Row],[Years of Service]], {"&lt;1","1-5","6-10","11-20","21-30","31-40","40+"}, 0)</f>
        <v>2</v>
      </c>
      <c r="G26" t="s">
        <v>189</v>
      </c>
      <c r="H26" t="s">
        <v>205</v>
      </c>
      <c r="I26" t="s">
        <v>189</v>
      </c>
      <c r="J26" t="s">
        <v>189</v>
      </c>
      <c r="K26" t="str" cm="1">
        <f t="array" ref="K2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26" t="s">
        <v>189</v>
      </c>
      <c r="M26" t="str" cm="1">
        <f t="array" ref="M2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26" t="s">
        <v>193</v>
      </c>
      <c r="O26" t="s">
        <v>198</v>
      </c>
      <c r="P26" t="s">
        <v>188</v>
      </c>
      <c r="Q26" t="s">
        <v>188</v>
      </c>
    </row>
    <row r="27" spans="1:24" x14ac:dyDescent="0.35">
      <c r="A27">
        <v>26</v>
      </c>
      <c r="B27" t="s">
        <v>88</v>
      </c>
      <c r="C27" t="s">
        <v>107</v>
      </c>
      <c r="D27" t="s">
        <v>170</v>
      </c>
      <c r="E27" s="7" t="s">
        <v>185</v>
      </c>
      <c r="F27" s="9">
        <f>MATCH(Table[[#This Row],[Years of Service]], {"&lt;1","1-5","6-10","11-20","21-30","31-40","40+"}, 0)</f>
        <v>2</v>
      </c>
      <c r="G27" t="s">
        <v>189</v>
      </c>
      <c r="H27" t="s">
        <v>205</v>
      </c>
      <c r="I27" t="s">
        <v>188</v>
      </c>
      <c r="J27" t="s">
        <v>188</v>
      </c>
      <c r="K27" t="str" cm="1">
        <f t="array" ref="K2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27" t="s">
        <v>188</v>
      </c>
      <c r="M27" t="str" cm="1">
        <f t="array" ref="M2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27" t="s">
        <v>199</v>
      </c>
      <c r="P27" t="s">
        <v>188</v>
      </c>
      <c r="Q27" t="s">
        <v>201</v>
      </c>
    </row>
    <row r="28" spans="1:24" x14ac:dyDescent="0.35">
      <c r="A28">
        <v>27</v>
      </c>
      <c r="B28" t="s">
        <v>89</v>
      </c>
      <c r="C28" t="s">
        <v>108</v>
      </c>
      <c r="D28" t="s">
        <v>171</v>
      </c>
      <c r="E28" s="7" t="s">
        <v>185</v>
      </c>
      <c r="F28" s="9">
        <f>MATCH(Table[[#This Row],[Years of Service]], {"&lt;1","1-5","6-10","11-20","21-30","31-40","40+"}, 0)</f>
        <v>2</v>
      </c>
      <c r="G28" t="s">
        <v>189</v>
      </c>
      <c r="H28" t="s">
        <v>205</v>
      </c>
      <c r="I28" t="s">
        <v>189</v>
      </c>
      <c r="J28" t="s">
        <v>189</v>
      </c>
      <c r="K28" t="str" cm="1">
        <f t="array" ref="K2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28" t="s">
        <v>189</v>
      </c>
      <c r="M28" t="str" cm="1">
        <f t="array" ref="M2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28" t="s">
        <v>193</v>
      </c>
      <c r="O28" t="s">
        <v>198</v>
      </c>
      <c r="P28" t="s">
        <v>188</v>
      </c>
      <c r="Q28" t="s">
        <v>188</v>
      </c>
      <c r="X28" t="s">
        <v>208</v>
      </c>
    </row>
    <row r="29" spans="1:24" x14ac:dyDescent="0.35">
      <c r="A29">
        <v>28</v>
      </c>
      <c r="B29" t="s">
        <v>91</v>
      </c>
      <c r="C29" t="s">
        <v>108</v>
      </c>
      <c r="D29" t="s">
        <v>123</v>
      </c>
      <c r="E29" s="7" t="s">
        <v>185</v>
      </c>
      <c r="F29" s="9">
        <f>MATCH(Table[[#This Row],[Years of Service]], {"&lt;1","1-5","6-10","11-20","21-30","31-40","40+"}, 0)</f>
        <v>2</v>
      </c>
      <c r="G29" t="s">
        <v>189</v>
      </c>
      <c r="H29" t="s">
        <v>205</v>
      </c>
      <c r="I29" t="s">
        <v>188</v>
      </c>
      <c r="J29" t="s">
        <v>189</v>
      </c>
      <c r="K29" t="str" cm="1">
        <f t="array" ref="K2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29" t="s">
        <v>189</v>
      </c>
      <c r="M29" t="str" cm="1">
        <f t="array" ref="M2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29" t="s">
        <v>193</v>
      </c>
      <c r="O29" t="s">
        <v>198</v>
      </c>
      <c r="P29" t="s">
        <v>188</v>
      </c>
      <c r="Q29" t="s">
        <v>201</v>
      </c>
    </row>
    <row r="30" spans="1:24" x14ac:dyDescent="0.35">
      <c r="A30">
        <v>29</v>
      </c>
      <c r="B30" t="s">
        <v>93</v>
      </c>
      <c r="C30" t="s">
        <v>108</v>
      </c>
      <c r="D30" t="s">
        <v>174</v>
      </c>
      <c r="E30" s="7" t="s">
        <v>185</v>
      </c>
      <c r="F30" s="9">
        <f>MATCH(Table[[#This Row],[Years of Service]], {"&lt;1","1-5","6-10","11-20","21-30","31-40","40+"}, 0)</f>
        <v>2</v>
      </c>
      <c r="G30" t="s">
        <v>189</v>
      </c>
      <c r="H30" t="s">
        <v>205</v>
      </c>
      <c r="I30" t="s">
        <v>189</v>
      </c>
      <c r="J30" t="s">
        <v>189</v>
      </c>
      <c r="K30" t="str" cm="1">
        <f t="array" ref="K3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30" t="s">
        <v>189</v>
      </c>
      <c r="M30" t="str" cm="1">
        <f t="array" ref="M3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30" t="s">
        <v>193</v>
      </c>
      <c r="O30" t="s">
        <v>198</v>
      </c>
      <c r="P30" t="s">
        <v>188</v>
      </c>
      <c r="Q30" t="s">
        <v>188</v>
      </c>
    </row>
    <row r="31" spans="1:24" x14ac:dyDescent="0.35">
      <c r="A31">
        <v>30</v>
      </c>
      <c r="B31" t="s">
        <v>98</v>
      </c>
      <c r="C31" t="s">
        <v>108</v>
      </c>
      <c r="D31" t="s">
        <v>176</v>
      </c>
      <c r="E31" s="7" t="s">
        <v>185</v>
      </c>
      <c r="F31" s="9">
        <f>MATCH(Table[[#This Row],[Years of Service]], {"&lt;1","1-5","6-10","11-20","21-30","31-40","40+"}, 0)</f>
        <v>2</v>
      </c>
      <c r="G31" t="s">
        <v>189</v>
      </c>
      <c r="H31" t="s">
        <v>205</v>
      </c>
      <c r="I31" t="s">
        <v>188</v>
      </c>
      <c r="J31" t="s">
        <v>188</v>
      </c>
      <c r="K31" t="str" cm="1">
        <f t="array" ref="K3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31" t="s">
        <v>188</v>
      </c>
      <c r="M31" t="str" cm="1">
        <f t="array" ref="M3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31" t="s">
        <v>198</v>
      </c>
      <c r="P31" t="s">
        <v>188</v>
      </c>
      <c r="Q31" t="s">
        <v>201</v>
      </c>
    </row>
    <row r="32" spans="1:24" x14ac:dyDescent="0.35">
      <c r="A32">
        <v>31</v>
      </c>
      <c r="B32" t="s">
        <v>99</v>
      </c>
      <c r="C32" t="s">
        <v>108</v>
      </c>
      <c r="D32" t="s">
        <v>177</v>
      </c>
      <c r="E32" s="7" t="s">
        <v>185</v>
      </c>
      <c r="F32" s="9">
        <f>MATCH(Table[[#This Row],[Years of Service]], {"&lt;1","1-5","6-10","11-20","21-30","31-40","40+"}, 0)</f>
        <v>2</v>
      </c>
      <c r="G32" t="s">
        <v>189</v>
      </c>
      <c r="H32" t="s">
        <v>205</v>
      </c>
      <c r="I32" t="s">
        <v>188</v>
      </c>
      <c r="J32" t="s">
        <v>188</v>
      </c>
      <c r="K32" t="str" cm="1">
        <f t="array" ref="K3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32" t="s">
        <v>188</v>
      </c>
      <c r="M32" t="str" cm="1">
        <f t="array" ref="M3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32" t="s">
        <v>199</v>
      </c>
      <c r="P32" t="s">
        <v>188</v>
      </c>
      <c r="Q32" t="s">
        <v>189</v>
      </c>
    </row>
    <row r="33" spans="1:17" x14ac:dyDescent="0.35">
      <c r="A33">
        <v>32</v>
      </c>
      <c r="B33" t="s">
        <v>105</v>
      </c>
      <c r="C33" t="s">
        <v>106</v>
      </c>
      <c r="D33" t="s">
        <v>113</v>
      </c>
      <c r="E33" s="7" t="s">
        <v>185</v>
      </c>
      <c r="F33" s="9">
        <f>MATCH(Table[[#This Row],[Years of Service]], {"&lt;1","1-5","6-10","11-20","21-30","31-40","40+"}, 0)</f>
        <v>2</v>
      </c>
      <c r="G33" t="s">
        <v>189</v>
      </c>
      <c r="H33" t="s">
        <v>205</v>
      </c>
      <c r="I33" t="s">
        <v>188</v>
      </c>
      <c r="J33" t="s">
        <v>189</v>
      </c>
      <c r="K33" t="str" cm="1">
        <f t="array" ref="K3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33" t="s">
        <v>189</v>
      </c>
      <c r="M33" t="str" cm="1">
        <f t="array" ref="M3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33" t="s">
        <v>193</v>
      </c>
      <c r="O33" t="s">
        <v>198</v>
      </c>
      <c r="P33" t="s">
        <v>188</v>
      </c>
      <c r="Q33" t="s">
        <v>201</v>
      </c>
    </row>
    <row r="34" spans="1:17" x14ac:dyDescent="0.35">
      <c r="A34">
        <v>33</v>
      </c>
      <c r="B34" t="s">
        <v>12</v>
      </c>
      <c r="C34" t="s">
        <v>107</v>
      </c>
      <c r="D34" t="s">
        <v>110</v>
      </c>
      <c r="E34" s="7" t="s">
        <v>184</v>
      </c>
      <c r="F34" s="9">
        <f>MATCH(Table[[#This Row],[Years of Service]], {"&lt;1","1-5","6-10","11-20","21-30","31-40","40+"}, 0)</f>
        <v>3</v>
      </c>
      <c r="G34" t="s">
        <v>189</v>
      </c>
      <c r="H34" t="s">
        <v>205</v>
      </c>
      <c r="I34" t="s">
        <v>188</v>
      </c>
      <c r="J34" t="s">
        <v>188</v>
      </c>
      <c r="K34" t="str" cm="1">
        <f t="array" ref="K3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34" t="s">
        <v>188</v>
      </c>
      <c r="M34" t="str" cm="1">
        <f t="array" ref="M3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34" t="s">
        <v>199</v>
      </c>
      <c r="P34" t="s">
        <v>188</v>
      </c>
      <c r="Q34" t="s">
        <v>188</v>
      </c>
    </row>
    <row r="35" spans="1:17" x14ac:dyDescent="0.35">
      <c r="A35">
        <v>34</v>
      </c>
      <c r="B35" t="s">
        <v>14</v>
      </c>
      <c r="C35" t="s">
        <v>106</v>
      </c>
      <c r="D35" t="s">
        <v>112</v>
      </c>
      <c r="E35" s="7" t="s">
        <v>184</v>
      </c>
      <c r="F35" s="9">
        <f>MATCH(Table[[#This Row],[Years of Service]], {"&lt;1","1-5","6-10","11-20","21-30","31-40","40+"}, 0)</f>
        <v>3</v>
      </c>
      <c r="G35" t="s">
        <v>189</v>
      </c>
      <c r="H35" t="s">
        <v>205</v>
      </c>
      <c r="I35" t="s">
        <v>188</v>
      </c>
      <c r="J35" t="s">
        <v>188</v>
      </c>
      <c r="K35" t="str" cm="1">
        <f t="array" ref="K3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35" t="s">
        <v>188</v>
      </c>
      <c r="M35" t="str" cm="1">
        <f t="array" ref="M3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35" t="s">
        <v>199</v>
      </c>
      <c r="P35" t="s">
        <v>188</v>
      </c>
      <c r="Q35" t="s">
        <v>188</v>
      </c>
    </row>
    <row r="36" spans="1:17" x14ac:dyDescent="0.35">
      <c r="A36">
        <v>35</v>
      </c>
      <c r="B36" t="s">
        <v>20</v>
      </c>
      <c r="C36" t="s">
        <v>106</v>
      </c>
      <c r="D36" t="s">
        <v>118</v>
      </c>
      <c r="E36" s="7" t="s">
        <v>184</v>
      </c>
      <c r="F36" s="9">
        <f>MATCH(Table[[#This Row],[Years of Service]], {"&lt;1","1-5","6-10","11-20","21-30","31-40","40+"}, 0)</f>
        <v>3</v>
      </c>
      <c r="G36" t="s">
        <v>189</v>
      </c>
      <c r="H36" t="s">
        <v>205</v>
      </c>
      <c r="I36" t="s">
        <v>189</v>
      </c>
      <c r="J36" t="s">
        <v>189</v>
      </c>
      <c r="K36" t="str" cm="1">
        <f t="array" ref="K3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36" t="s">
        <v>189</v>
      </c>
      <c r="M36" t="str" cm="1">
        <f t="array" ref="M3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36" t="s">
        <v>191</v>
      </c>
      <c r="O36" t="s">
        <v>203</v>
      </c>
      <c r="P36" t="s">
        <v>188</v>
      </c>
      <c r="Q36" t="s">
        <v>188</v>
      </c>
    </row>
    <row r="37" spans="1:17" x14ac:dyDescent="0.35">
      <c r="A37">
        <v>36</v>
      </c>
      <c r="B37" t="s">
        <v>21</v>
      </c>
      <c r="C37" t="s">
        <v>107</v>
      </c>
      <c r="D37" t="s">
        <v>119</v>
      </c>
      <c r="E37" s="7" t="s">
        <v>184</v>
      </c>
      <c r="F37" s="9">
        <f>MATCH(Table[[#This Row],[Years of Service]], {"&lt;1","1-5","6-10","11-20","21-30","31-40","40+"}, 0)</f>
        <v>3</v>
      </c>
      <c r="G37" t="s">
        <v>189</v>
      </c>
      <c r="H37" t="s">
        <v>205</v>
      </c>
      <c r="I37" t="s">
        <v>188</v>
      </c>
      <c r="J37" t="s">
        <v>189</v>
      </c>
      <c r="K37" t="str" cm="1">
        <f t="array" ref="K3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37" t="s">
        <v>189</v>
      </c>
      <c r="M37" t="str" cm="1">
        <f t="array" ref="M3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37" t="s">
        <v>193</v>
      </c>
      <c r="O37" t="s">
        <v>198</v>
      </c>
      <c r="P37" t="s">
        <v>189</v>
      </c>
      <c r="Q37" t="s">
        <v>189</v>
      </c>
    </row>
    <row r="38" spans="1:17" x14ac:dyDescent="0.35">
      <c r="A38">
        <v>37</v>
      </c>
      <c r="B38" t="s">
        <v>25</v>
      </c>
      <c r="C38" t="s">
        <v>107</v>
      </c>
      <c r="D38" t="s">
        <v>122</v>
      </c>
      <c r="E38" s="7" t="s">
        <v>184</v>
      </c>
      <c r="F38" s="9">
        <f>MATCH(Table[[#This Row],[Years of Service]], {"&lt;1","1-5","6-10","11-20","21-30","31-40","40+"}, 0)</f>
        <v>3</v>
      </c>
      <c r="G38" t="s">
        <v>189</v>
      </c>
      <c r="H38" t="s">
        <v>205</v>
      </c>
      <c r="I38" t="s">
        <v>189</v>
      </c>
      <c r="J38" t="s">
        <v>189</v>
      </c>
      <c r="K38" t="str" cm="1">
        <f t="array" ref="K3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38" t="s">
        <v>189</v>
      </c>
      <c r="M38" t="str" cm="1">
        <f t="array" ref="M3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38" t="s">
        <v>193</v>
      </c>
      <c r="O38" t="s">
        <v>198</v>
      </c>
      <c r="P38" t="s">
        <v>188</v>
      </c>
      <c r="Q38" t="s">
        <v>188</v>
      </c>
    </row>
    <row r="39" spans="1:17" x14ac:dyDescent="0.35">
      <c r="A39">
        <v>38</v>
      </c>
      <c r="B39" t="s">
        <v>26</v>
      </c>
      <c r="C39" t="s">
        <v>108</v>
      </c>
      <c r="D39" t="s">
        <v>123</v>
      </c>
      <c r="E39" s="7" t="s">
        <v>184</v>
      </c>
      <c r="F39" s="9">
        <f>MATCH(Table[[#This Row],[Years of Service]], {"&lt;1","1-5","6-10","11-20","21-30","31-40","40+"}, 0)</f>
        <v>3</v>
      </c>
      <c r="G39" t="s">
        <v>189</v>
      </c>
      <c r="H39" t="s">
        <v>205</v>
      </c>
      <c r="I39" t="s">
        <v>189</v>
      </c>
      <c r="J39" t="s">
        <v>189</v>
      </c>
      <c r="K39" t="str" cm="1">
        <f t="array" ref="K3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39" t="s">
        <v>189</v>
      </c>
      <c r="M39" t="str" cm="1">
        <f t="array" ref="M3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39" t="s">
        <v>193</v>
      </c>
      <c r="O39" t="s">
        <v>198</v>
      </c>
      <c r="P39" t="s">
        <v>189</v>
      </c>
      <c r="Q39" t="s">
        <v>201</v>
      </c>
    </row>
    <row r="40" spans="1:17" x14ac:dyDescent="0.35">
      <c r="A40">
        <v>39</v>
      </c>
      <c r="B40" t="s">
        <v>29</v>
      </c>
      <c r="C40" t="s">
        <v>108</v>
      </c>
      <c r="D40" t="s">
        <v>126</v>
      </c>
      <c r="E40" s="7" t="s">
        <v>184</v>
      </c>
      <c r="F40" s="9">
        <f>MATCH(Table[[#This Row],[Years of Service]], {"&lt;1","1-5","6-10","11-20","21-30","31-40","40+"}, 0)</f>
        <v>3</v>
      </c>
      <c r="G40" t="s">
        <v>189</v>
      </c>
      <c r="H40" t="s">
        <v>205</v>
      </c>
      <c r="I40" t="s">
        <v>188</v>
      </c>
      <c r="J40" t="s">
        <v>188</v>
      </c>
      <c r="K40" t="str" cm="1">
        <f t="array" ref="K4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0" t="s">
        <v>188</v>
      </c>
      <c r="M40" t="str" cm="1">
        <f t="array" ref="M4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40" t="s">
        <v>199</v>
      </c>
      <c r="P40" t="s">
        <v>188</v>
      </c>
      <c r="Q40" t="s">
        <v>188</v>
      </c>
    </row>
    <row r="41" spans="1:17" x14ac:dyDescent="0.35">
      <c r="A41">
        <v>40</v>
      </c>
      <c r="B41" t="s">
        <v>35</v>
      </c>
      <c r="C41" t="s">
        <v>106</v>
      </c>
      <c r="D41" t="s">
        <v>113</v>
      </c>
      <c r="E41" s="7" t="s">
        <v>184</v>
      </c>
      <c r="F41" s="9">
        <f>MATCH(Table[[#This Row],[Years of Service]], {"&lt;1","1-5","6-10","11-20","21-30","31-40","40+"}, 0)</f>
        <v>3</v>
      </c>
      <c r="G41" t="s">
        <v>189</v>
      </c>
      <c r="H41" t="s">
        <v>205</v>
      </c>
      <c r="I41" t="s">
        <v>188</v>
      </c>
      <c r="J41" t="s">
        <v>188</v>
      </c>
      <c r="K41" t="str" cm="1">
        <f t="array" ref="K4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1" t="s">
        <v>189</v>
      </c>
      <c r="M41" t="str" cm="1">
        <f t="array" ref="M4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41" t="s">
        <v>196</v>
      </c>
      <c r="O41" t="s">
        <v>199</v>
      </c>
      <c r="P41" t="s">
        <v>188</v>
      </c>
      <c r="Q41" t="s">
        <v>188</v>
      </c>
    </row>
    <row r="42" spans="1:17" x14ac:dyDescent="0.35">
      <c r="A42">
        <v>41</v>
      </c>
      <c r="B42" t="s">
        <v>39</v>
      </c>
      <c r="C42" t="s">
        <v>107</v>
      </c>
      <c r="D42" t="s">
        <v>133</v>
      </c>
      <c r="E42" s="7" t="s">
        <v>184</v>
      </c>
      <c r="F42" s="9">
        <f>MATCH(Table[[#This Row],[Years of Service]], {"&lt;1","1-5","6-10","11-20","21-30","31-40","40+"}, 0)</f>
        <v>3</v>
      </c>
      <c r="G42" t="s">
        <v>189</v>
      </c>
      <c r="H42" t="s">
        <v>205</v>
      </c>
      <c r="I42" t="s">
        <v>188</v>
      </c>
      <c r="J42" t="s">
        <v>188</v>
      </c>
      <c r="K42" t="str" cm="1">
        <f t="array" ref="K4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2" t="s">
        <v>188</v>
      </c>
      <c r="M42" t="str" cm="1">
        <f t="array" ref="M4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42" t="s">
        <v>199</v>
      </c>
      <c r="P42" t="s">
        <v>189</v>
      </c>
      <c r="Q42" t="s">
        <v>189</v>
      </c>
    </row>
    <row r="43" spans="1:17" x14ac:dyDescent="0.35">
      <c r="A43">
        <v>42</v>
      </c>
      <c r="B43" t="s">
        <v>47</v>
      </c>
      <c r="C43" t="s">
        <v>108</v>
      </c>
      <c r="D43" t="s">
        <v>123</v>
      </c>
      <c r="E43" s="7" t="s">
        <v>184</v>
      </c>
      <c r="F43" s="9">
        <f>MATCH(Table[[#This Row],[Years of Service]], {"&lt;1","1-5","6-10","11-20","21-30","31-40","40+"}, 0)</f>
        <v>3</v>
      </c>
      <c r="G43" t="s">
        <v>189</v>
      </c>
      <c r="H43" t="s">
        <v>205</v>
      </c>
      <c r="I43" t="s">
        <v>189</v>
      </c>
      <c r="J43" t="s">
        <v>189</v>
      </c>
      <c r="K43" t="str" cm="1">
        <f t="array" ref="K4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43" t="s">
        <v>189</v>
      </c>
      <c r="M43" t="str" cm="1">
        <f t="array" ref="M4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43" t="s">
        <v>191</v>
      </c>
      <c r="O43" t="s">
        <v>203</v>
      </c>
      <c r="P43" t="s">
        <v>189</v>
      </c>
      <c r="Q43" t="s">
        <v>188</v>
      </c>
    </row>
    <row r="44" spans="1:17" x14ac:dyDescent="0.35">
      <c r="A44">
        <v>43</v>
      </c>
      <c r="B44" t="s">
        <v>49</v>
      </c>
      <c r="C44" t="s">
        <v>108</v>
      </c>
      <c r="D44" t="s">
        <v>140</v>
      </c>
      <c r="E44" s="7" t="s">
        <v>184</v>
      </c>
      <c r="F44" s="9">
        <f>MATCH(Table[[#This Row],[Years of Service]], {"&lt;1","1-5","6-10","11-20","21-30","31-40","40+"}, 0)</f>
        <v>3</v>
      </c>
      <c r="G44" t="s">
        <v>189</v>
      </c>
      <c r="H44" t="s">
        <v>205</v>
      </c>
      <c r="I44" t="s">
        <v>188</v>
      </c>
      <c r="J44" t="s">
        <v>188</v>
      </c>
      <c r="K44" t="str" cm="1">
        <f t="array" ref="K4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4" t="s">
        <v>188</v>
      </c>
      <c r="M44" t="str" cm="1">
        <f t="array" ref="M4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44" t="s">
        <v>199</v>
      </c>
      <c r="P44" t="s">
        <v>188</v>
      </c>
      <c r="Q44" t="s">
        <v>188</v>
      </c>
    </row>
    <row r="45" spans="1:17" x14ac:dyDescent="0.35">
      <c r="A45">
        <v>44</v>
      </c>
      <c r="B45" t="s">
        <v>57</v>
      </c>
      <c r="C45" t="s">
        <v>106</v>
      </c>
      <c r="D45" t="s">
        <v>147</v>
      </c>
      <c r="E45" s="7" t="s">
        <v>184</v>
      </c>
      <c r="F45" s="9">
        <f>MATCH(Table[[#This Row],[Years of Service]], {"&lt;1","1-5","6-10","11-20","21-30","31-40","40+"}, 0)</f>
        <v>3</v>
      </c>
      <c r="G45" t="s">
        <v>188</v>
      </c>
      <c r="H45" t="s">
        <v>4</v>
      </c>
      <c r="I45" t="s">
        <v>188</v>
      </c>
      <c r="J45" t="s">
        <v>189</v>
      </c>
      <c r="K45" t="str" cm="1">
        <f t="array" ref="K4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45" t="s">
        <v>189</v>
      </c>
      <c r="M45" t="str" cm="1">
        <f t="array" ref="M4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45" t="s">
        <v>193</v>
      </c>
      <c r="O45" t="s">
        <v>198</v>
      </c>
      <c r="P45" t="s">
        <v>189</v>
      </c>
      <c r="Q45" t="s">
        <v>189</v>
      </c>
    </row>
    <row r="46" spans="1:17" x14ac:dyDescent="0.35">
      <c r="A46">
        <v>45</v>
      </c>
      <c r="B46" t="s">
        <v>59</v>
      </c>
      <c r="C46" t="s">
        <v>108</v>
      </c>
      <c r="D46" t="s">
        <v>126</v>
      </c>
      <c r="E46" s="7" t="s">
        <v>184</v>
      </c>
      <c r="F46" s="9">
        <f>MATCH(Table[[#This Row],[Years of Service]], {"&lt;1","1-5","6-10","11-20","21-30","31-40","40+"}, 0)</f>
        <v>3</v>
      </c>
      <c r="G46" t="s">
        <v>189</v>
      </c>
      <c r="H46" t="s">
        <v>205</v>
      </c>
      <c r="I46" t="s">
        <v>189</v>
      </c>
      <c r="J46" t="s">
        <v>189</v>
      </c>
      <c r="K46" t="str" cm="1">
        <f t="array" ref="K4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46" t="s">
        <v>189</v>
      </c>
      <c r="M46" t="str" cm="1">
        <f t="array" ref="M4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46" t="s">
        <v>191</v>
      </c>
      <c r="O46" t="s">
        <v>203</v>
      </c>
      <c r="P46" t="s">
        <v>189</v>
      </c>
      <c r="Q46" t="s">
        <v>201</v>
      </c>
    </row>
    <row r="47" spans="1:17" x14ac:dyDescent="0.35">
      <c r="A47">
        <v>46</v>
      </c>
      <c r="B47" t="s">
        <v>60</v>
      </c>
      <c r="C47" t="s">
        <v>108</v>
      </c>
      <c r="D47" t="s">
        <v>149</v>
      </c>
      <c r="E47" s="7" t="s">
        <v>184</v>
      </c>
      <c r="F47" s="9">
        <f>MATCH(Table[[#This Row],[Years of Service]], {"&lt;1","1-5","6-10","11-20","21-30","31-40","40+"}, 0)</f>
        <v>3</v>
      </c>
      <c r="G47" t="s">
        <v>188</v>
      </c>
      <c r="H47" t="s">
        <v>4</v>
      </c>
      <c r="I47" t="s">
        <v>188</v>
      </c>
      <c r="J47" t="s">
        <v>188</v>
      </c>
      <c r="K47" t="str" cm="1">
        <f t="array" ref="K4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7" t="s">
        <v>188</v>
      </c>
      <c r="M47" t="str" cm="1">
        <f t="array" ref="M4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47" t="s">
        <v>199</v>
      </c>
      <c r="P47" t="s">
        <v>188</v>
      </c>
      <c r="Q47" t="s">
        <v>188</v>
      </c>
    </row>
    <row r="48" spans="1:17" x14ac:dyDescent="0.35">
      <c r="A48">
        <v>47</v>
      </c>
      <c r="B48" t="s">
        <v>62</v>
      </c>
      <c r="C48" t="s">
        <v>107</v>
      </c>
      <c r="D48" t="s">
        <v>151</v>
      </c>
      <c r="E48" s="7" t="s">
        <v>184</v>
      </c>
      <c r="F48" s="9">
        <f>MATCH(Table[[#This Row],[Years of Service]], {"&lt;1","1-5","6-10","11-20","21-30","31-40","40+"}, 0)</f>
        <v>3</v>
      </c>
      <c r="G48" t="s">
        <v>189</v>
      </c>
      <c r="H48" t="s">
        <v>205</v>
      </c>
      <c r="I48" t="s">
        <v>188</v>
      </c>
      <c r="J48" t="s">
        <v>188</v>
      </c>
      <c r="K48" t="str" cm="1">
        <f t="array" ref="K4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8" t="s">
        <v>188</v>
      </c>
      <c r="M48" t="str" cm="1">
        <f t="array" ref="M4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48" t="s">
        <v>199</v>
      </c>
      <c r="P48" t="s">
        <v>188</v>
      </c>
      <c r="Q48" t="s">
        <v>188</v>
      </c>
    </row>
    <row r="49" spans="1:17" x14ac:dyDescent="0.35">
      <c r="A49">
        <v>48</v>
      </c>
      <c r="B49" t="s">
        <v>63</v>
      </c>
      <c r="C49" t="s">
        <v>106</v>
      </c>
      <c r="D49" t="s">
        <v>152</v>
      </c>
      <c r="E49" s="7" t="s">
        <v>184</v>
      </c>
      <c r="F49" s="9">
        <f>MATCH(Table[[#This Row],[Years of Service]], {"&lt;1","1-5","6-10","11-20","21-30","31-40","40+"}, 0)</f>
        <v>3</v>
      </c>
      <c r="G49" t="s">
        <v>188</v>
      </c>
      <c r="H49" t="s">
        <v>4</v>
      </c>
      <c r="I49" t="s">
        <v>188</v>
      </c>
      <c r="J49" t="s">
        <v>188</v>
      </c>
      <c r="K49" t="str" cm="1">
        <f t="array" ref="K4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49" t="s">
        <v>189</v>
      </c>
      <c r="M49" t="str" cm="1">
        <f t="array" ref="M4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49" t="s">
        <v>196</v>
      </c>
      <c r="O49" t="s">
        <v>203</v>
      </c>
      <c r="P49" t="s">
        <v>188</v>
      </c>
      <c r="Q49" t="s">
        <v>201</v>
      </c>
    </row>
    <row r="50" spans="1:17" x14ac:dyDescent="0.35">
      <c r="A50">
        <v>49</v>
      </c>
      <c r="B50" t="s">
        <v>67</v>
      </c>
      <c r="C50" t="s">
        <v>108</v>
      </c>
      <c r="D50" t="s">
        <v>156</v>
      </c>
      <c r="E50" s="7" t="s">
        <v>184</v>
      </c>
      <c r="F50" s="9">
        <f>MATCH(Table[[#This Row],[Years of Service]], {"&lt;1","1-5","6-10","11-20","21-30","31-40","40+"}, 0)</f>
        <v>3</v>
      </c>
      <c r="G50" t="s">
        <v>189</v>
      </c>
      <c r="H50" t="s">
        <v>205</v>
      </c>
      <c r="I50" t="s">
        <v>189</v>
      </c>
      <c r="J50" t="s">
        <v>189</v>
      </c>
      <c r="K50" t="str" cm="1">
        <f t="array" ref="K5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50" t="s">
        <v>189</v>
      </c>
      <c r="M50" t="str" cm="1">
        <f t="array" ref="M5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50" t="s">
        <v>193</v>
      </c>
      <c r="O50" t="s">
        <v>198</v>
      </c>
      <c r="P50" t="s">
        <v>188</v>
      </c>
      <c r="Q50" t="s">
        <v>189</v>
      </c>
    </row>
    <row r="51" spans="1:17" x14ac:dyDescent="0.35">
      <c r="A51">
        <v>50</v>
      </c>
      <c r="B51" t="s">
        <v>69</v>
      </c>
      <c r="C51" t="s">
        <v>107</v>
      </c>
      <c r="D51" t="s">
        <v>158</v>
      </c>
      <c r="E51" s="7" t="s">
        <v>184</v>
      </c>
      <c r="F51" s="9">
        <f>MATCH(Table[[#This Row],[Years of Service]], {"&lt;1","1-5","6-10","11-20","21-30","31-40","40+"}, 0)</f>
        <v>3</v>
      </c>
      <c r="G51" t="s">
        <v>189</v>
      </c>
      <c r="H51" t="s">
        <v>205</v>
      </c>
      <c r="I51" t="s">
        <v>188</v>
      </c>
      <c r="J51" t="s">
        <v>188</v>
      </c>
      <c r="K51" t="str" cm="1">
        <f t="array" ref="K5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51" t="s">
        <v>188</v>
      </c>
      <c r="M51" t="str" cm="1">
        <f t="array" ref="M5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51" t="s">
        <v>199</v>
      </c>
      <c r="P51" t="s">
        <v>188</v>
      </c>
      <c r="Q51" t="s">
        <v>201</v>
      </c>
    </row>
    <row r="52" spans="1:17" x14ac:dyDescent="0.35">
      <c r="A52">
        <v>51</v>
      </c>
      <c r="B52" t="s">
        <v>79</v>
      </c>
      <c r="C52" t="s">
        <v>108</v>
      </c>
      <c r="D52" t="s">
        <v>123</v>
      </c>
      <c r="E52" s="7" t="s">
        <v>184</v>
      </c>
      <c r="F52" s="9">
        <f>MATCH(Table[[#This Row],[Years of Service]], {"&lt;1","1-5","6-10","11-20","21-30","31-40","40+"}, 0)</f>
        <v>3</v>
      </c>
      <c r="G52" t="s">
        <v>189</v>
      </c>
      <c r="H52" t="s">
        <v>205</v>
      </c>
      <c r="I52" t="s">
        <v>189</v>
      </c>
      <c r="J52" t="s">
        <v>189</v>
      </c>
      <c r="K52" t="str" cm="1">
        <f t="array" ref="K5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52" t="s">
        <v>189</v>
      </c>
      <c r="M52" t="str" cm="1">
        <f t="array" ref="M5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52" t="s">
        <v>193</v>
      </c>
      <c r="O52" t="s">
        <v>198</v>
      </c>
      <c r="P52" t="s">
        <v>188</v>
      </c>
      <c r="Q52" t="s">
        <v>188</v>
      </c>
    </row>
    <row r="53" spans="1:17" x14ac:dyDescent="0.35">
      <c r="A53">
        <v>52</v>
      </c>
      <c r="B53" t="s">
        <v>81</v>
      </c>
      <c r="C53" t="s">
        <v>108</v>
      </c>
      <c r="D53" t="s">
        <v>123</v>
      </c>
      <c r="E53" s="7" t="s">
        <v>184</v>
      </c>
      <c r="F53" s="9">
        <f>MATCH(Table[[#This Row],[Years of Service]], {"&lt;1","1-5","6-10","11-20","21-30","31-40","40+"}, 0)</f>
        <v>3</v>
      </c>
      <c r="G53" t="s">
        <v>189</v>
      </c>
      <c r="H53" t="s">
        <v>205</v>
      </c>
      <c r="I53" t="s">
        <v>188</v>
      </c>
      <c r="J53" t="s">
        <v>188</v>
      </c>
      <c r="K53" t="str" cm="1">
        <f t="array" ref="K5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53" t="s">
        <v>189</v>
      </c>
      <c r="M53" t="str" cm="1">
        <f t="array" ref="M5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53" t="s">
        <v>197</v>
      </c>
      <c r="O53" t="s">
        <v>198</v>
      </c>
      <c r="P53" t="s">
        <v>189</v>
      </c>
      <c r="Q53" t="s">
        <v>189</v>
      </c>
    </row>
    <row r="54" spans="1:17" x14ac:dyDescent="0.35">
      <c r="A54">
        <v>53</v>
      </c>
      <c r="B54" t="s">
        <v>82</v>
      </c>
      <c r="C54" t="s">
        <v>108</v>
      </c>
      <c r="D54" t="s">
        <v>167</v>
      </c>
      <c r="E54" s="7" t="s">
        <v>184</v>
      </c>
      <c r="F54" s="9">
        <f>MATCH(Table[[#This Row],[Years of Service]], {"&lt;1","1-5","6-10","11-20","21-30","31-40","40+"}, 0)</f>
        <v>3</v>
      </c>
      <c r="G54" t="s">
        <v>188</v>
      </c>
      <c r="H54" t="s">
        <v>4</v>
      </c>
      <c r="I54" t="s">
        <v>189</v>
      </c>
      <c r="J54" t="s">
        <v>189</v>
      </c>
      <c r="K54" t="str" cm="1">
        <f t="array" ref="K5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54" t="s">
        <v>189</v>
      </c>
      <c r="M54" t="str" cm="1">
        <f t="array" ref="M5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54" t="s">
        <v>193</v>
      </c>
      <c r="O54" t="s">
        <v>198</v>
      </c>
      <c r="P54" t="s">
        <v>188</v>
      </c>
      <c r="Q54" t="s">
        <v>188</v>
      </c>
    </row>
    <row r="55" spans="1:17" x14ac:dyDescent="0.35">
      <c r="A55">
        <v>54</v>
      </c>
      <c r="B55" t="s">
        <v>84</v>
      </c>
      <c r="C55" t="s">
        <v>107</v>
      </c>
      <c r="D55" t="s">
        <v>168</v>
      </c>
      <c r="E55" s="7" t="s">
        <v>184</v>
      </c>
      <c r="F55" s="9">
        <f>MATCH(Table[[#This Row],[Years of Service]], {"&lt;1","1-5","6-10","11-20","21-30","31-40","40+"}, 0)</f>
        <v>3</v>
      </c>
      <c r="G55" t="s">
        <v>188</v>
      </c>
      <c r="H55" t="s">
        <v>4</v>
      </c>
      <c r="I55" t="s">
        <v>189</v>
      </c>
      <c r="J55" t="s">
        <v>189</v>
      </c>
      <c r="K55" t="str" cm="1">
        <f t="array" ref="K5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55" t="s">
        <v>189</v>
      </c>
      <c r="M55" t="str" cm="1">
        <f t="array" ref="M5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55" t="s">
        <v>193</v>
      </c>
      <c r="O55" t="s">
        <v>198</v>
      </c>
      <c r="P55" t="s">
        <v>188</v>
      </c>
      <c r="Q55" t="s">
        <v>188</v>
      </c>
    </row>
    <row r="56" spans="1:17" x14ac:dyDescent="0.35">
      <c r="A56">
        <v>55</v>
      </c>
      <c r="B56" t="s">
        <v>94</v>
      </c>
      <c r="C56" t="s">
        <v>106</v>
      </c>
      <c r="D56" t="s">
        <v>143</v>
      </c>
      <c r="E56" s="7" t="s">
        <v>184</v>
      </c>
      <c r="F56" s="9">
        <f>MATCH(Table[[#This Row],[Years of Service]], {"&lt;1","1-5","6-10","11-20","21-30","31-40","40+"}, 0)</f>
        <v>3</v>
      </c>
      <c r="G56" t="s">
        <v>188</v>
      </c>
      <c r="H56" t="s">
        <v>4</v>
      </c>
      <c r="I56" t="s">
        <v>188</v>
      </c>
      <c r="J56" t="s">
        <v>188</v>
      </c>
      <c r="K56" t="str" cm="1">
        <f t="array" ref="K5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56" t="s">
        <v>188</v>
      </c>
      <c r="M56" t="str" cm="1">
        <f t="array" ref="M5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56" t="s">
        <v>199</v>
      </c>
      <c r="P56" t="s">
        <v>188</v>
      </c>
      <c r="Q56" t="s">
        <v>188</v>
      </c>
    </row>
    <row r="57" spans="1:17" x14ac:dyDescent="0.35">
      <c r="A57">
        <v>56</v>
      </c>
      <c r="B57" t="s">
        <v>17</v>
      </c>
      <c r="C57" t="s">
        <v>108</v>
      </c>
      <c r="D57" t="s">
        <v>115</v>
      </c>
      <c r="E57" s="7" t="s">
        <v>186</v>
      </c>
      <c r="F57" s="9">
        <f>MATCH(Table[[#This Row],[Years of Service]], {"&lt;1","1-5","6-10","11-20","21-30","31-40","40+"}, 0)</f>
        <v>4</v>
      </c>
      <c r="G57" t="s">
        <v>189</v>
      </c>
      <c r="H57" t="s">
        <v>205</v>
      </c>
      <c r="I57" t="s">
        <v>188</v>
      </c>
      <c r="J57" t="s">
        <v>188</v>
      </c>
      <c r="K57" t="str" cm="1">
        <f t="array" ref="K5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57" t="s">
        <v>189</v>
      </c>
      <c r="M57" t="str" cm="1">
        <f t="array" ref="M5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57" t="s">
        <v>192</v>
      </c>
      <c r="O57" t="s">
        <v>198</v>
      </c>
      <c r="P57" t="s">
        <v>189</v>
      </c>
      <c r="Q57" t="s">
        <v>201</v>
      </c>
    </row>
    <row r="58" spans="1:17" x14ac:dyDescent="0.35">
      <c r="A58">
        <v>57</v>
      </c>
      <c r="B58" t="s">
        <v>22</v>
      </c>
      <c r="C58" t="s">
        <v>108</v>
      </c>
      <c r="D58" t="s">
        <v>120</v>
      </c>
      <c r="E58" s="7" t="s">
        <v>186</v>
      </c>
      <c r="F58" s="9">
        <f>MATCH(Table[[#This Row],[Years of Service]], {"&lt;1","1-5","6-10","11-20","21-30","31-40","40+"}, 0)</f>
        <v>4</v>
      </c>
      <c r="G58" t="s">
        <v>189</v>
      </c>
      <c r="H58" t="s">
        <v>205</v>
      </c>
      <c r="I58" t="s">
        <v>188</v>
      </c>
      <c r="J58" t="s">
        <v>188</v>
      </c>
      <c r="K58" t="str" cm="1">
        <f t="array" ref="K5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58" t="s">
        <v>189</v>
      </c>
      <c r="M58" t="str" cm="1">
        <f t="array" ref="M5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58" t="s">
        <v>194</v>
      </c>
      <c r="O58" t="s">
        <v>203</v>
      </c>
      <c r="P58" t="s">
        <v>189</v>
      </c>
      <c r="Q58" t="s">
        <v>201</v>
      </c>
    </row>
    <row r="59" spans="1:17" x14ac:dyDescent="0.35">
      <c r="A59">
        <v>58</v>
      </c>
      <c r="B59" t="s">
        <v>23</v>
      </c>
      <c r="C59" t="s">
        <v>107</v>
      </c>
      <c r="D59" t="s">
        <v>121</v>
      </c>
      <c r="E59" s="7" t="s">
        <v>186</v>
      </c>
      <c r="F59" s="9">
        <f>MATCH(Table[[#This Row],[Years of Service]], {"&lt;1","1-5","6-10","11-20","21-30","31-40","40+"}, 0)</f>
        <v>4</v>
      </c>
      <c r="G59" t="s">
        <v>189</v>
      </c>
      <c r="H59" t="s">
        <v>205</v>
      </c>
      <c r="I59" t="s">
        <v>189</v>
      </c>
      <c r="J59" t="s">
        <v>189</v>
      </c>
      <c r="K59" t="str" cm="1">
        <f t="array" ref="K5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59" t="s">
        <v>189</v>
      </c>
      <c r="M59" t="str" cm="1">
        <f t="array" ref="M5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59" t="s">
        <v>193</v>
      </c>
      <c r="O59" t="s">
        <v>198</v>
      </c>
      <c r="P59" t="s">
        <v>189</v>
      </c>
      <c r="Q59" t="s">
        <v>189</v>
      </c>
    </row>
    <row r="60" spans="1:17" x14ac:dyDescent="0.35">
      <c r="A60">
        <v>59</v>
      </c>
      <c r="B60" t="s">
        <v>34</v>
      </c>
      <c r="C60" t="s">
        <v>108</v>
      </c>
      <c r="D60" t="s">
        <v>130</v>
      </c>
      <c r="E60" s="7" t="s">
        <v>186</v>
      </c>
      <c r="F60" s="9">
        <f>MATCH(Table[[#This Row],[Years of Service]], {"&lt;1","1-5","6-10","11-20","21-30","31-40","40+"}, 0)</f>
        <v>4</v>
      </c>
      <c r="G60" t="s">
        <v>189</v>
      </c>
      <c r="H60" t="s">
        <v>205</v>
      </c>
      <c r="I60" t="s">
        <v>189</v>
      </c>
      <c r="J60" t="s">
        <v>189</v>
      </c>
      <c r="K60" t="str" cm="1">
        <f t="array" ref="K6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60" t="s">
        <v>189</v>
      </c>
      <c r="M60" t="str" cm="1">
        <f t="array" ref="M6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60" t="s">
        <v>193</v>
      </c>
      <c r="O60" t="s">
        <v>198</v>
      </c>
      <c r="P60" t="s">
        <v>189</v>
      </c>
      <c r="Q60" t="s">
        <v>189</v>
      </c>
    </row>
    <row r="61" spans="1:17" x14ac:dyDescent="0.35">
      <c r="A61">
        <v>60</v>
      </c>
      <c r="B61" t="s">
        <v>40</v>
      </c>
      <c r="C61" t="s">
        <v>108</v>
      </c>
      <c r="D61" t="s">
        <v>134</v>
      </c>
      <c r="E61" s="7" t="s">
        <v>186</v>
      </c>
      <c r="F61" s="9">
        <f>MATCH(Table[[#This Row],[Years of Service]], {"&lt;1","1-5","6-10","11-20","21-30","31-40","40+"}, 0)</f>
        <v>4</v>
      </c>
      <c r="G61" t="s">
        <v>189</v>
      </c>
      <c r="H61" t="s">
        <v>205</v>
      </c>
      <c r="I61" t="s">
        <v>188</v>
      </c>
      <c r="J61" t="s">
        <v>188</v>
      </c>
      <c r="K61" t="str" cm="1">
        <f t="array" ref="K6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1" t="s">
        <v>189</v>
      </c>
      <c r="M61" t="str" cm="1">
        <f t="array" ref="M6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61" t="s">
        <v>194</v>
      </c>
      <c r="O61" t="s">
        <v>203</v>
      </c>
      <c r="P61" t="s">
        <v>188</v>
      </c>
      <c r="Q61" t="s">
        <v>201</v>
      </c>
    </row>
    <row r="62" spans="1:17" x14ac:dyDescent="0.35">
      <c r="A62">
        <v>61</v>
      </c>
      <c r="B62" t="s">
        <v>41</v>
      </c>
      <c r="C62" t="s">
        <v>106</v>
      </c>
      <c r="D62" t="s">
        <v>113</v>
      </c>
      <c r="E62" s="7" t="s">
        <v>186</v>
      </c>
      <c r="F62" s="9">
        <f>MATCH(Table[[#This Row],[Years of Service]], {"&lt;1","1-5","6-10","11-20","21-30","31-40","40+"}, 0)</f>
        <v>4</v>
      </c>
      <c r="G62" t="s">
        <v>189</v>
      </c>
      <c r="H62" t="s">
        <v>205</v>
      </c>
      <c r="I62" t="s">
        <v>188</v>
      </c>
      <c r="J62" t="s">
        <v>188</v>
      </c>
      <c r="K62" t="str" cm="1">
        <f t="array" ref="K6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2" t="s">
        <v>188</v>
      </c>
      <c r="M62" t="str" cm="1">
        <f t="array" ref="M6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62" t="s">
        <v>199</v>
      </c>
      <c r="P62" t="s">
        <v>188</v>
      </c>
      <c r="Q62" t="s">
        <v>201</v>
      </c>
    </row>
    <row r="63" spans="1:17" x14ac:dyDescent="0.35">
      <c r="A63">
        <v>62</v>
      </c>
      <c r="B63" t="s">
        <v>44</v>
      </c>
      <c r="C63" t="s">
        <v>107</v>
      </c>
      <c r="D63" t="s">
        <v>137</v>
      </c>
      <c r="E63" s="7" t="s">
        <v>186</v>
      </c>
      <c r="F63" s="9">
        <f>MATCH(Table[[#This Row],[Years of Service]], {"&lt;1","1-5","6-10","11-20","21-30","31-40","40+"}, 0)</f>
        <v>4</v>
      </c>
      <c r="G63" t="s">
        <v>189</v>
      </c>
      <c r="H63" t="s">
        <v>205</v>
      </c>
      <c r="I63" t="s">
        <v>188</v>
      </c>
      <c r="J63" t="s">
        <v>188</v>
      </c>
      <c r="K63" t="str" cm="1">
        <f t="array" ref="K6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3" t="s">
        <v>189</v>
      </c>
      <c r="M63" t="str" cm="1">
        <f t="array" ref="M6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63" t="s">
        <v>191</v>
      </c>
      <c r="O63" t="s">
        <v>203</v>
      </c>
      <c r="P63" t="s">
        <v>188</v>
      </c>
      <c r="Q63" t="s">
        <v>189</v>
      </c>
    </row>
    <row r="64" spans="1:17" x14ac:dyDescent="0.35">
      <c r="A64">
        <v>63</v>
      </c>
      <c r="B64" t="s">
        <v>45</v>
      </c>
      <c r="C64" t="s">
        <v>108</v>
      </c>
      <c r="D64" t="s">
        <v>123</v>
      </c>
      <c r="E64" s="7" t="s">
        <v>186</v>
      </c>
      <c r="F64" s="9">
        <f>MATCH(Table[[#This Row],[Years of Service]], {"&lt;1","1-5","6-10","11-20","21-30","31-40","40+"}, 0)</f>
        <v>4</v>
      </c>
      <c r="G64" t="s">
        <v>189</v>
      </c>
      <c r="H64" t="s">
        <v>205</v>
      </c>
      <c r="I64" t="s">
        <v>188</v>
      </c>
      <c r="J64" t="s">
        <v>189</v>
      </c>
      <c r="K64" t="str" cm="1">
        <f t="array" ref="K6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64" t="s">
        <v>189</v>
      </c>
      <c r="M64" t="str" cm="1">
        <f t="array" ref="M6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64" t="s">
        <v>191</v>
      </c>
      <c r="O64" t="s">
        <v>203</v>
      </c>
      <c r="P64" t="s">
        <v>189</v>
      </c>
      <c r="Q64" t="s">
        <v>189</v>
      </c>
    </row>
    <row r="65" spans="1:17" x14ac:dyDescent="0.35">
      <c r="A65">
        <v>64</v>
      </c>
      <c r="B65" t="s">
        <v>46</v>
      </c>
      <c r="C65" t="s">
        <v>106</v>
      </c>
      <c r="D65" t="s">
        <v>138</v>
      </c>
      <c r="E65" s="7" t="s">
        <v>186</v>
      </c>
      <c r="F65" s="9">
        <f>MATCH(Table[[#This Row],[Years of Service]], {"&lt;1","1-5","6-10","11-20","21-30","31-40","40+"}, 0)</f>
        <v>4</v>
      </c>
      <c r="G65" t="s">
        <v>188</v>
      </c>
      <c r="H65" t="s">
        <v>4</v>
      </c>
      <c r="I65" t="s">
        <v>188</v>
      </c>
      <c r="J65" t="s">
        <v>188</v>
      </c>
      <c r="K65" t="str" cm="1">
        <f t="array" ref="K6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5" t="s">
        <v>189</v>
      </c>
      <c r="M65" t="str" cm="1">
        <f t="array" ref="M6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65" t="s">
        <v>194</v>
      </c>
      <c r="O65" t="s">
        <v>203</v>
      </c>
      <c r="P65" t="s">
        <v>189</v>
      </c>
      <c r="Q65" t="s">
        <v>201</v>
      </c>
    </row>
    <row r="66" spans="1:17" x14ac:dyDescent="0.35">
      <c r="A66">
        <v>65</v>
      </c>
      <c r="B66" t="s">
        <v>56</v>
      </c>
      <c r="C66" t="s">
        <v>107</v>
      </c>
      <c r="D66" t="s">
        <v>146</v>
      </c>
      <c r="E66" s="7" t="s">
        <v>186</v>
      </c>
      <c r="F66" s="9">
        <f>MATCH(Table[[#This Row],[Years of Service]], {"&lt;1","1-5","6-10","11-20","21-30","31-40","40+"}, 0)</f>
        <v>4</v>
      </c>
      <c r="G66" t="s">
        <v>189</v>
      </c>
      <c r="H66" t="s">
        <v>205</v>
      </c>
      <c r="I66" t="s">
        <v>189</v>
      </c>
      <c r="J66" t="s">
        <v>189</v>
      </c>
      <c r="K66" t="str" cm="1">
        <f t="array" ref="K6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66" t="s">
        <v>189</v>
      </c>
      <c r="M66" t="str" cm="1">
        <f t="array" ref="M6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66" t="s">
        <v>193</v>
      </c>
      <c r="O66" t="s">
        <v>198</v>
      </c>
      <c r="P66" t="s">
        <v>189</v>
      </c>
      <c r="Q66" t="s">
        <v>201</v>
      </c>
    </row>
    <row r="67" spans="1:17" x14ac:dyDescent="0.35">
      <c r="A67">
        <v>66</v>
      </c>
      <c r="B67" t="s">
        <v>64</v>
      </c>
      <c r="C67" t="s">
        <v>106</v>
      </c>
      <c r="D67" t="s">
        <v>153</v>
      </c>
      <c r="E67" s="7" t="s">
        <v>186</v>
      </c>
      <c r="F67" s="9">
        <f>MATCH(Table[[#This Row],[Years of Service]], {"&lt;1","1-5","6-10","11-20","21-30","31-40","40+"}, 0)</f>
        <v>4</v>
      </c>
      <c r="G67" t="s">
        <v>188</v>
      </c>
      <c r="H67" t="s">
        <v>4</v>
      </c>
      <c r="I67" t="s">
        <v>188</v>
      </c>
      <c r="J67" t="s">
        <v>188</v>
      </c>
      <c r="K67" t="str" cm="1">
        <f t="array" ref="K6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7" t="s">
        <v>188</v>
      </c>
      <c r="M67" t="str" cm="1">
        <f t="array" ref="M6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67" t="s">
        <v>199</v>
      </c>
      <c r="P67" t="s">
        <v>189</v>
      </c>
      <c r="Q67" t="s">
        <v>201</v>
      </c>
    </row>
    <row r="68" spans="1:17" x14ac:dyDescent="0.35">
      <c r="A68">
        <v>67</v>
      </c>
      <c r="B68" t="s">
        <v>65</v>
      </c>
      <c r="C68" t="s">
        <v>108</v>
      </c>
      <c r="D68" t="s">
        <v>154</v>
      </c>
      <c r="E68" s="7" t="s">
        <v>186</v>
      </c>
      <c r="F68" s="9">
        <f>MATCH(Table[[#This Row],[Years of Service]], {"&lt;1","1-5","6-10","11-20","21-30","31-40","40+"}, 0)</f>
        <v>4</v>
      </c>
      <c r="G68" t="s">
        <v>189</v>
      </c>
      <c r="H68" t="s">
        <v>205</v>
      </c>
      <c r="I68" t="s">
        <v>188</v>
      </c>
      <c r="J68" t="s">
        <v>188</v>
      </c>
      <c r="K68" t="str" cm="1">
        <f t="array" ref="K6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68" t="s">
        <v>189</v>
      </c>
      <c r="M68" t="str" cm="1">
        <f t="array" ref="M6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68" t="s">
        <v>196</v>
      </c>
      <c r="O68" t="s">
        <v>203</v>
      </c>
      <c r="P68" t="s">
        <v>189</v>
      </c>
      <c r="Q68" t="s">
        <v>189</v>
      </c>
    </row>
    <row r="69" spans="1:17" x14ac:dyDescent="0.35">
      <c r="A69">
        <v>68</v>
      </c>
      <c r="B69" t="s">
        <v>68</v>
      </c>
      <c r="C69" t="s">
        <v>106</v>
      </c>
      <c r="D69" t="s">
        <v>157</v>
      </c>
      <c r="E69" s="7" t="s">
        <v>186</v>
      </c>
      <c r="F69" s="9">
        <f>MATCH(Table[[#This Row],[Years of Service]], {"&lt;1","1-5","6-10","11-20","21-30","31-40","40+"}, 0)</f>
        <v>4</v>
      </c>
      <c r="G69" t="s">
        <v>189</v>
      </c>
      <c r="H69" t="s">
        <v>205</v>
      </c>
      <c r="I69" t="s">
        <v>189</v>
      </c>
      <c r="J69" t="s">
        <v>189</v>
      </c>
      <c r="K69" t="str" cm="1">
        <f t="array" ref="K6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69" t="s">
        <v>189</v>
      </c>
      <c r="M69" t="str" cm="1">
        <f t="array" ref="M6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69" t="s">
        <v>191</v>
      </c>
      <c r="O69" t="s">
        <v>203</v>
      </c>
      <c r="P69" t="s">
        <v>189</v>
      </c>
      <c r="Q69" t="s">
        <v>189</v>
      </c>
    </row>
    <row r="70" spans="1:17" x14ac:dyDescent="0.35">
      <c r="A70">
        <v>69</v>
      </c>
      <c r="B70" t="s">
        <v>71</v>
      </c>
      <c r="C70" t="s">
        <v>106</v>
      </c>
      <c r="D70" t="s">
        <v>160</v>
      </c>
      <c r="E70" s="7" t="s">
        <v>186</v>
      </c>
      <c r="F70" s="9">
        <f>MATCH(Table[[#This Row],[Years of Service]], {"&lt;1","1-5","6-10","11-20","21-30","31-40","40+"}, 0)</f>
        <v>4</v>
      </c>
      <c r="G70" t="s">
        <v>189</v>
      </c>
      <c r="H70" t="s">
        <v>205</v>
      </c>
      <c r="I70" t="s">
        <v>188</v>
      </c>
      <c r="J70" t="s">
        <v>188</v>
      </c>
      <c r="K70" t="str" cm="1">
        <f t="array" ref="K7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70" t="s">
        <v>189</v>
      </c>
      <c r="M70" t="str" cm="1">
        <f t="array" ref="M7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70" t="s">
        <v>195</v>
      </c>
      <c r="O70" t="s">
        <v>203</v>
      </c>
      <c r="P70" t="s">
        <v>188</v>
      </c>
      <c r="Q70" t="s">
        <v>201</v>
      </c>
    </row>
    <row r="71" spans="1:17" x14ac:dyDescent="0.35">
      <c r="A71">
        <v>70</v>
      </c>
      <c r="B71" t="s">
        <v>74</v>
      </c>
      <c r="C71" t="s">
        <v>107</v>
      </c>
      <c r="D71" t="s">
        <v>137</v>
      </c>
      <c r="E71" s="7" t="s">
        <v>186</v>
      </c>
      <c r="F71" s="9">
        <f>MATCH(Table[[#This Row],[Years of Service]], {"&lt;1","1-5","6-10","11-20","21-30","31-40","40+"}, 0)</f>
        <v>4</v>
      </c>
      <c r="G71" t="s">
        <v>189</v>
      </c>
      <c r="H71" t="s">
        <v>205</v>
      </c>
      <c r="I71" t="s">
        <v>188</v>
      </c>
      <c r="J71" t="s">
        <v>189</v>
      </c>
      <c r="K71" t="str" cm="1">
        <f t="array" ref="K7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71" t="s">
        <v>189</v>
      </c>
      <c r="M71" t="str" cm="1">
        <f t="array" ref="M7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71" t="s">
        <v>193</v>
      </c>
      <c r="O71" t="s">
        <v>198</v>
      </c>
      <c r="P71" t="s">
        <v>188</v>
      </c>
      <c r="Q71" t="s">
        <v>201</v>
      </c>
    </row>
    <row r="72" spans="1:17" x14ac:dyDescent="0.35">
      <c r="A72">
        <v>71</v>
      </c>
      <c r="B72" t="s">
        <v>76</v>
      </c>
      <c r="C72" t="s">
        <v>108</v>
      </c>
      <c r="D72" t="s">
        <v>134</v>
      </c>
      <c r="E72" s="7" t="s">
        <v>186</v>
      </c>
      <c r="F72" s="9">
        <f>MATCH(Table[[#This Row],[Years of Service]], {"&lt;1","1-5","6-10","11-20","21-30","31-40","40+"}, 0)</f>
        <v>4</v>
      </c>
      <c r="G72" t="s">
        <v>189</v>
      </c>
      <c r="H72" t="s">
        <v>205</v>
      </c>
      <c r="I72" t="s">
        <v>188</v>
      </c>
      <c r="J72" t="s">
        <v>188</v>
      </c>
      <c r="K72" t="str" cm="1">
        <f t="array" ref="K7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72" t="s">
        <v>189</v>
      </c>
      <c r="M72" t="str" cm="1">
        <f t="array" ref="M7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72" t="s">
        <v>191</v>
      </c>
      <c r="O72" t="s">
        <v>203</v>
      </c>
      <c r="P72" t="s">
        <v>188</v>
      </c>
      <c r="Q72" t="s">
        <v>188</v>
      </c>
    </row>
    <row r="73" spans="1:17" x14ac:dyDescent="0.35">
      <c r="A73">
        <v>72</v>
      </c>
      <c r="B73" t="s">
        <v>78</v>
      </c>
      <c r="C73" t="s">
        <v>106</v>
      </c>
      <c r="D73" t="s">
        <v>165</v>
      </c>
      <c r="E73" s="7" t="s">
        <v>186</v>
      </c>
      <c r="F73" s="9">
        <f>MATCH(Table[[#This Row],[Years of Service]], {"&lt;1","1-5","6-10","11-20","21-30","31-40","40+"}, 0)</f>
        <v>4</v>
      </c>
      <c r="G73" t="s">
        <v>188</v>
      </c>
      <c r="H73" t="s">
        <v>4</v>
      </c>
      <c r="I73" t="s">
        <v>188</v>
      </c>
      <c r="J73" t="s">
        <v>189</v>
      </c>
      <c r="K73" t="str" cm="1">
        <f t="array" ref="K7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73" t="s">
        <v>189</v>
      </c>
      <c r="M73" t="str" cm="1">
        <f t="array" ref="M7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73" t="s">
        <v>191</v>
      </c>
      <c r="O73" t="s">
        <v>198</v>
      </c>
      <c r="P73" t="s">
        <v>189</v>
      </c>
      <c r="Q73" t="s">
        <v>189</v>
      </c>
    </row>
    <row r="74" spans="1:17" x14ac:dyDescent="0.35">
      <c r="A74">
        <v>73</v>
      </c>
      <c r="B74" t="s">
        <v>80</v>
      </c>
      <c r="C74" t="s">
        <v>106</v>
      </c>
      <c r="D74" t="s">
        <v>166</v>
      </c>
      <c r="E74" s="7" t="s">
        <v>186</v>
      </c>
      <c r="F74" s="9">
        <f>MATCH(Table[[#This Row],[Years of Service]], {"&lt;1","1-5","6-10","11-20","21-30","31-40","40+"}, 0)</f>
        <v>4</v>
      </c>
      <c r="G74" t="s">
        <v>188</v>
      </c>
      <c r="H74" t="s">
        <v>4</v>
      </c>
      <c r="I74" t="s">
        <v>188</v>
      </c>
      <c r="J74" t="s">
        <v>188</v>
      </c>
      <c r="K74" t="str" cm="1">
        <f t="array" ref="K7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74" t="s">
        <v>188</v>
      </c>
      <c r="M74" t="str" cm="1">
        <f t="array" ref="M7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74" t="s">
        <v>199</v>
      </c>
      <c r="P74" t="s">
        <v>188</v>
      </c>
      <c r="Q74" t="s">
        <v>201</v>
      </c>
    </row>
    <row r="75" spans="1:17" x14ac:dyDescent="0.35">
      <c r="A75">
        <v>74</v>
      </c>
      <c r="B75" t="s">
        <v>92</v>
      </c>
      <c r="C75" t="s">
        <v>108</v>
      </c>
      <c r="D75" t="s">
        <v>173</v>
      </c>
      <c r="E75" s="7" t="s">
        <v>186</v>
      </c>
      <c r="F75" s="9">
        <f>MATCH(Table[[#This Row],[Years of Service]], {"&lt;1","1-5","6-10","11-20","21-30","31-40","40+"}, 0)</f>
        <v>4</v>
      </c>
      <c r="G75" t="s">
        <v>189</v>
      </c>
      <c r="H75" t="s">
        <v>205</v>
      </c>
      <c r="I75" t="s">
        <v>189</v>
      </c>
      <c r="J75" t="s">
        <v>189</v>
      </c>
      <c r="K75" t="str" cm="1">
        <f t="array" ref="K7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75" t="s">
        <v>189</v>
      </c>
      <c r="M75" t="str" cm="1">
        <f t="array" ref="M7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75" t="s">
        <v>193</v>
      </c>
      <c r="O75" t="s">
        <v>198</v>
      </c>
      <c r="P75" t="s">
        <v>189</v>
      </c>
      <c r="Q75" t="s">
        <v>201</v>
      </c>
    </row>
    <row r="76" spans="1:17" x14ac:dyDescent="0.35">
      <c r="A76">
        <v>75</v>
      </c>
      <c r="B76" t="s">
        <v>100</v>
      </c>
      <c r="C76" t="s">
        <v>107</v>
      </c>
      <c r="D76" t="s">
        <v>178</v>
      </c>
      <c r="E76" s="7" t="s">
        <v>186</v>
      </c>
      <c r="F76" s="9">
        <f>MATCH(Table[[#This Row],[Years of Service]], {"&lt;1","1-5","6-10","11-20","21-30","31-40","40+"}, 0)</f>
        <v>4</v>
      </c>
      <c r="G76" t="s">
        <v>188</v>
      </c>
      <c r="H76" t="s">
        <v>4</v>
      </c>
      <c r="I76" t="s">
        <v>188</v>
      </c>
      <c r="J76" t="s">
        <v>188</v>
      </c>
      <c r="K76" t="str" cm="1">
        <f t="array" ref="K7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76" t="s">
        <v>188</v>
      </c>
      <c r="M76" t="str" cm="1">
        <f t="array" ref="M7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76" t="s">
        <v>199</v>
      </c>
      <c r="P76" t="s">
        <v>188</v>
      </c>
      <c r="Q76" t="s">
        <v>189</v>
      </c>
    </row>
    <row r="77" spans="1:17" x14ac:dyDescent="0.35">
      <c r="A77">
        <v>76</v>
      </c>
      <c r="B77" t="s">
        <v>101</v>
      </c>
      <c r="C77" t="s">
        <v>107</v>
      </c>
      <c r="D77" t="s">
        <v>179</v>
      </c>
      <c r="E77" s="7" t="s">
        <v>186</v>
      </c>
      <c r="F77" s="9">
        <f>MATCH(Table[[#This Row],[Years of Service]], {"&lt;1","1-5","6-10","11-20","21-30","31-40","40+"}, 0)</f>
        <v>4</v>
      </c>
      <c r="G77" t="s">
        <v>189</v>
      </c>
      <c r="H77" t="s">
        <v>205</v>
      </c>
      <c r="I77" t="s">
        <v>189</v>
      </c>
      <c r="J77" t="s">
        <v>189</v>
      </c>
      <c r="K77" t="str" cm="1">
        <f t="array" ref="K7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77" t="s">
        <v>189</v>
      </c>
      <c r="M77" t="str" cm="1">
        <f t="array" ref="M7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77" t="s">
        <v>193</v>
      </c>
      <c r="O77" t="s">
        <v>198</v>
      </c>
      <c r="P77" t="s">
        <v>188</v>
      </c>
      <c r="Q77" t="s">
        <v>189</v>
      </c>
    </row>
    <row r="78" spans="1:17" x14ac:dyDescent="0.35">
      <c r="A78">
        <v>77</v>
      </c>
      <c r="B78" t="s">
        <v>103</v>
      </c>
      <c r="C78" t="s">
        <v>108</v>
      </c>
      <c r="D78" t="s">
        <v>181</v>
      </c>
      <c r="E78" s="7" t="s">
        <v>186</v>
      </c>
      <c r="F78" s="9">
        <f>MATCH(Table[[#This Row],[Years of Service]], {"&lt;1","1-5","6-10","11-20","21-30","31-40","40+"}, 0)</f>
        <v>4</v>
      </c>
      <c r="G78" t="s">
        <v>189</v>
      </c>
      <c r="H78" t="s">
        <v>205</v>
      </c>
      <c r="I78" t="s">
        <v>189</v>
      </c>
      <c r="J78" t="s">
        <v>189</v>
      </c>
      <c r="K78" t="str" cm="1">
        <f t="array" ref="K7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78" t="s">
        <v>189</v>
      </c>
      <c r="M78" t="str" cm="1">
        <f t="array" ref="M7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78" t="s">
        <v>193</v>
      </c>
      <c r="O78" t="s">
        <v>198</v>
      </c>
      <c r="P78" t="s">
        <v>189</v>
      </c>
      <c r="Q78" t="s">
        <v>188</v>
      </c>
    </row>
    <row r="79" spans="1:17" x14ac:dyDescent="0.35">
      <c r="A79">
        <v>78</v>
      </c>
      <c r="B79" t="s">
        <v>11</v>
      </c>
      <c r="C79" t="s">
        <v>106</v>
      </c>
      <c r="D79" t="s">
        <v>109</v>
      </c>
      <c r="E79" s="7" t="s">
        <v>183</v>
      </c>
      <c r="F79" s="9">
        <f>MATCH(Table[[#This Row],[Years of Service]], {"&lt;1","1-5","6-10","11-20","21-30","31-40","40+"}, 0)</f>
        <v>5</v>
      </c>
      <c r="G79" t="s">
        <v>188</v>
      </c>
      <c r="H79" t="s">
        <v>4</v>
      </c>
      <c r="I79" t="s">
        <v>188</v>
      </c>
      <c r="J79" t="s">
        <v>188</v>
      </c>
      <c r="K79" t="str" cm="1">
        <f t="array" ref="K7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79" t="s">
        <v>189</v>
      </c>
      <c r="M79" t="str" cm="1">
        <f t="array" ref="M7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79" t="s">
        <v>190</v>
      </c>
      <c r="O79" t="s">
        <v>198</v>
      </c>
      <c r="P79" t="s">
        <v>189</v>
      </c>
      <c r="Q79" t="s">
        <v>189</v>
      </c>
    </row>
    <row r="80" spans="1:17" x14ac:dyDescent="0.35">
      <c r="A80">
        <v>79</v>
      </c>
      <c r="B80" t="s">
        <v>15</v>
      </c>
      <c r="C80" t="s">
        <v>106</v>
      </c>
      <c r="D80" t="s">
        <v>113</v>
      </c>
      <c r="E80" s="7" t="s">
        <v>183</v>
      </c>
      <c r="F80" s="9">
        <f>MATCH(Table[[#This Row],[Years of Service]], {"&lt;1","1-5","6-10","11-20","21-30","31-40","40+"}, 0)</f>
        <v>5</v>
      </c>
      <c r="G80" t="s">
        <v>189</v>
      </c>
      <c r="H80" t="s">
        <v>205</v>
      </c>
      <c r="I80" t="s">
        <v>188</v>
      </c>
      <c r="J80" t="s">
        <v>188</v>
      </c>
      <c r="K80" t="str" cm="1">
        <f t="array" ref="K8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0" t="s">
        <v>188</v>
      </c>
      <c r="M80" t="str" cm="1">
        <f t="array" ref="M8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80" t="s">
        <v>199</v>
      </c>
      <c r="P80" t="s">
        <v>188</v>
      </c>
      <c r="Q80" t="s">
        <v>189</v>
      </c>
    </row>
    <row r="81" spans="1:17" x14ac:dyDescent="0.35">
      <c r="A81">
        <v>80</v>
      </c>
      <c r="B81" t="s">
        <v>27</v>
      </c>
      <c r="C81" t="s">
        <v>106</v>
      </c>
      <c r="D81" t="s">
        <v>124</v>
      </c>
      <c r="E81" s="7" t="s">
        <v>183</v>
      </c>
      <c r="F81" s="9">
        <f>MATCH(Table[[#This Row],[Years of Service]], {"&lt;1","1-5","6-10","11-20","21-30","31-40","40+"}, 0)</f>
        <v>5</v>
      </c>
      <c r="G81" t="s">
        <v>189</v>
      </c>
      <c r="H81" t="s">
        <v>205</v>
      </c>
      <c r="I81" t="s">
        <v>188</v>
      </c>
      <c r="J81" t="s">
        <v>188</v>
      </c>
      <c r="K81" t="str" cm="1">
        <f t="array" ref="K8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1" t="s">
        <v>189</v>
      </c>
      <c r="M81" t="str" cm="1">
        <f t="array" ref="M8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81" t="s">
        <v>193</v>
      </c>
      <c r="O81" t="s">
        <v>203</v>
      </c>
      <c r="P81" t="s">
        <v>188</v>
      </c>
      <c r="Q81" t="s">
        <v>188</v>
      </c>
    </row>
    <row r="82" spans="1:17" x14ac:dyDescent="0.35">
      <c r="A82">
        <v>81</v>
      </c>
      <c r="B82" t="s">
        <v>33</v>
      </c>
      <c r="C82" t="s">
        <v>108</v>
      </c>
      <c r="D82" t="s">
        <v>129</v>
      </c>
      <c r="E82" s="7" t="s">
        <v>183</v>
      </c>
      <c r="F82" s="9">
        <f>MATCH(Table[[#This Row],[Years of Service]], {"&lt;1","1-5","6-10","11-20","21-30","31-40","40+"}, 0)</f>
        <v>5</v>
      </c>
      <c r="G82" t="s">
        <v>188</v>
      </c>
      <c r="H82" t="s">
        <v>4</v>
      </c>
      <c r="I82" t="s">
        <v>188</v>
      </c>
      <c r="J82" t="s">
        <v>188</v>
      </c>
      <c r="K82" t="str" cm="1">
        <f t="array" ref="K8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2" t="s">
        <v>188</v>
      </c>
      <c r="M82" t="str" cm="1">
        <f t="array" ref="M8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82" t="s">
        <v>199</v>
      </c>
      <c r="P82" t="s">
        <v>188</v>
      </c>
      <c r="Q82" t="s">
        <v>188</v>
      </c>
    </row>
    <row r="83" spans="1:17" x14ac:dyDescent="0.35">
      <c r="A83">
        <v>82</v>
      </c>
      <c r="B83" t="s">
        <v>50</v>
      </c>
      <c r="C83" t="s">
        <v>106</v>
      </c>
      <c r="D83" t="s">
        <v>141</v>
      </c>
      <c r="E83" s="7" t="s">
        <v>183</v>
      </c>
      <c r="F83" s="9">
        <f>MATCH(Table[[#This Row],[Years of Service]], {"&lt;1","1-5","6-10","11-20","21-30","31-40","40+"}, 0)</f>
        <v>5</v>
      </c>
      <c r="G83" t="s">
        <v>189</v>
      </c>
      <c r="H83" t="s">
        <v>205</v>
      </c>
      <c r="I83" t="s">
        <v>188</v>
      </c>
      <c r="J83" t="s">
        <v>188</v>
      </c>
      <c r="K83" t="str" cm="1">
        <f t="array" ref="K8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3" t="s">
        <v>188</v>
      </c>
      <c r="M83" t="str" cm="1">
        <f t="array" ref="M8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83" t="s">
        <v>199</v>
      </c>
      <c r="P83" t="s">
        <v>188</v>
      </c>
      <c r="Q83" t="s">
        <v>201</v>
      </c>
    </row>
    <row r="84" spans="1:17" x14ac:dyDescent="0.35">
      <c r="A84">
        <v>83</v>
      </c>
      <c r="B84" t="s">
        <v>55</v>
      </c>
      <c r="C84" t="s">
        <v>106</v>
      </c>
      <c r="D84" t="s">
        <v>109</v>
      </c>
      <c r="E84" s="7" t="s">
        <v>183</v>
      </c>
      <c r="F84" s="9">
        <f>MATCH(Table[[#This Row],[Years of Service]], {"&lt;1","1-5","6-10","11-20","21-30","31-40","40+"}, 0)</f>
        <v>5</v>
      </c>
      <c r="G84" t="s">
        <v>189</v>
      </c>
      <c r="H84" t="s">
        <v>205</v>
      </c>
      <c r="I84" t="s">
        <v>188</v>
      </c>
      <c r="J84" t="s">
        <v>189</v>
      </c>
      <c r="K84" t="str" cm="1">
        <f t="array" ref="K8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84" t="s">
        <v>189</v>
      </c>
      <c r="M84" t="str" cm="1">
        <f t="array" ref="M8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84" t="s">
        <v>193</v>
      </c>
      <c r="O84" t="s">
        <v>198</v>
      </c>
      <c r="P84" t="s">
        <v>188</v>
      </c>
      <c r="Q84" t="s">
        <v>188</v>
      </c>
    </row>
    <row r="85" spans="1:17" x14ac:dyDescent="0.35">
      <c r="A85">
        <v>84</v>
      </c>
      <c r="B85" t="s">
        <v>70</v>
      </c>
      <c r="C85" t="s">
        <v>108</v>
      </c>
      <c r="D85" t="s">
        <v>159</v>
      </c>
      <c r="E85" s="7" t="s">
        <v>183</v>
      </c>
      <c r="F85" s="9">
        <f>MATCH(Table[[#This Row],[Years of Service]], {"&lt;1","1-5","6-10","11-20","21-30","31-40","40+"}, 0)</f>
        <v>5</v>
      </c>
      <c r="G85" t="s">
        <v>189</v>
      </c>
      <c r="H85" t="s">
        <v>205</v>
      </c>
      <c r="I85" t="s">
        <v>188</v>
      </c>
      <c r="J85" t="s">
        <v>188</v>
      </c>
      <c r="K85" t="str" cm="1">
        <f t="array" ref="K8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5" t="s">
        <v>188</v>
      </c>
      <c r="M85" t="str" cm="1">
        <f t="array" ref="M8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85" t="s">
        <v>199</v>
      </c>
      <c r="P85" t="s">
        <v>188</v>
      </c>
      <c r="Q85" t="s">
        <v>189</v>
      </c>
    </row>
    <row r="86" spans="1:17" x14ac:dyDescent="0.35">
      <c r="A86">
        <v>85</v>
      </c>
      <c r="B86" t="s">
        <v>95</v>
      </c>
      <c r="C86" t="s">
        <v>108</v>
      </c>
      <c r="D86" t="s">
        <v>175</v>
      </c>
      <c r="E86" s="7" t="s">
        <v>183</v>
      </c>
      <c r="F86" s="9">
        <f>MATCH(Table[[#This Row],[Years of Service]], {"&lt;1","1-5","6-10","11-20","21-30","31-40","40+"}, 0)</f>
        <v>5</v>
      </c>
      <c r="G86" t="s">
        <v>189</v>
      </c>
      <c r="H86" t="s">
        <v>205</v>
      </c>
      <c r="I86" t="s">
        <v>188</v>
      </c>
      <c r="J86" t="s">
        <v>188</v>
      </c>
      <c r="K86" t="str" cm="1">
        <f t="array" ref="K8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6" t="s">
        <v>188</v>
      </c>
      <c r="M86" t="str" cm="1">
        <f t="array" ref="M8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86" t="s">
        <v>199</v>
      </c>
      <c r="P86" t="s">
        <v>188</v>
      </c>
      <c r="Q86" t="s">
        <v>188</v>
      </c>
    </row>
    <row r="87" spans="1:17" x14ac:dyDescent="0.35">
      <c r="A87">
        <v>86</v>
      </c>
      <c r="B87" t="s">
        <v>97</v>
      </c>
      <c r="C87" t="s">
        <v>106</v>
      </c>
      <c r="D87" t="s">
        <v>125</v>
      </c>
      <c r="E87" s="7" t="s">
        <v>183</v>
      </c>
      <c r="F87" s="9">
        <f>MATCH(Table[[#This Row],[Years of Service]], {"&lt;1","1-5","6-10","11-20","21-30","31-40","40+"}, 0)</f>
        <v>5</v>
      </c>
      <c r="G87" t="s">
        <v>189</v>
      </c>
      <c r="H87" t="s">
        <v>205</v>
      </c>
      <c r="I87" t="s">
        <v>188</v>
      </c>
      <c r="J87" t="s">
        <v>188</v>
      </c>
      <c r="K87" t="str" cm="1">
        <f t="array" ref="K87">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7" t="s">
        <v>189</v>
      </c>
      <c r="M87" t="str" cm="1">
        <f t="array" ref="M87">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87" t="s">
        <v>191</v>
      </c>
      <c r="O87" t="s">
        <v>199</v>
      </c>
      <c r="P87" t="s">
        <v>188</v>
      </c>
      <c r="Q87" t="s">
        <v>188</v>
      </c>
    </row>
    <row r="88" spans="1:17" x14ac:dyDescent="0.35">
      <c r="A88">
        <v>87</v>
      </c>
      <c r="B88" t="s">
        <v>102</v>
      </c>
      <c r="C88" t="s">
        <v>107</v>
      </c>
      <c r="D88" t="s">
        <v>180</v>
      </c>
      <c r="E88" s="7" t="s">
        <v>183</v>
      </c>
      <c r="F88" s="9">
        <f>MATCH(Table[[#This Row],[Years of Service]], {"&lt;1","1-5","6-10","11-20","21-30","31-40","40+"}, 0)</f>
        <v>5</v>
      </c>
      <c r="G88" t="s">
        <v>189</v>
      </c>
      <c r="H88" t="s">
        <v>205</v>
      </c>
      <c r="I88" t="s">
        <v>189</v>
      </c>
      <c r="J88" t="s">
        <v>189</v>
      </c>
      <c r="K88" t="str" cm="1">
        <f t="array" ref="K88">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88" t="s">
        <v>189</v>
      </c>
      <c r="M88" t="str" cm="1">
        <f t="array" ref="M88">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88" t="s">
        <v>191</v>
      </c>
      <c r="O88" t="s">
        <v>203</v>
      </c>
      <c r="P88" t="s">
        <v>189</v>
      </c>
      <c r="Q88" t="s">
        <v>189</v>
      </c>
    </row>
    <row r="89" spans="1:17" x14ac:dyDescent="0.35">
      <c r="A89">
        <v>88</v>
      </c>
      <c r="B89" t="s">
        <v>104</v>
      </c>
      <c r="C89" t="s">
        <v>108</v>
      </c>
      <c r="D89" t="s">
        <v>182</v>
      </c>
      <c r="E89" s="7" t="s">
        <v>183</v>
      </c>
      <c r="F89" s="9">
        <f>MATCH(Table[[#This Row],[Years of Service]], {"&lt;1","1-5","6-10","11-20","21-30","31-40","40+"}, 0)</f>
        <v>5</v>
      </c>
      <c r="G89" t="s">
        <v>189</v>
      </c>
      <c r="H89" t="s">
        <v>205</v>
      </c>
      <c r="I89" t="s">
        <v>188</v>
      </c>
      <c r="J89" t="s">
        <v>188</v>
      </c>
      <c r="K89" t="str" cm="1">
        <f t="array" ref="K89">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89" t="s">
        <v>189</v>
      </c>
      <c r="M89" t="str" cm="1">
        <f t="array" ref="M89">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89" t="s">
        <v>192</v>
      </c>
      <c r="O89" t="s">
        <v>198</v>
      </c>
      <c r="P89" t="s">
        <v>188</v>
      </c>
      <c r="Q89" t="s">
        <v>188</v>
      </c>
    </row>
    <row r="90" spans="1:17" x14ac:dyDescent="0.35">
      <c r="A90">
        <v>89</v>
      </c>
      <c r="B90" t="s">
        <v>24</v>
      </c>
      <c r="C90" t="s">
        <v>106</v>
      </c>
      <c r="D90" t="s">
        <v>109</v>
      </c>
      <c r="E90" s="7" t="s">
        <v>187</v>
      </c>
      <c r="F90" s="9">
        <f>MATCH(Table[[#This Row],[Years of Service]], {"&lt;1","1-5","6-10","11-20","21-30","31-40","40+"}, 0)</f>
        <v>6</v>
      </c>
      <c r="G90" t="s">
        <v>188</v>
      </c>
      <c r="H90" t="s">
        <v>4</v>
      </c>
      <c r="I90" t="s">
        <v>188</v>
      </c>
      <c r="J90" t="s">
        <v>188</v>
      </c>
      <c r="K90" t="str" cm="1">
        <f t="array" ref="K90">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0" t="s">
        <v>189</v>
      </c>
      <c r="M90" t="str" cm="1">
        <f t="array" ref="M90">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90" t="s">
        <v>195</v>
      </c>
      <c r="O90" t="s">
        <v>199</v>
      </c>
      <c r="P90" t="s">
        <v>189</v>
      </c>
      <c r="Q90" t="s">
        <v>189</v>
      </c>
    </row>
    <row r="91" spans="1:17" x14ac:dyDescent="0.35">
      <c r="A91">
        <v>90</v>
      </c>
      <c r="B91" t="s">
        <v>32</v>
      </c>
      <c r="C91" t="s">
        <v>108</v>
      </c>
      <c r="D91" t="s">
        <v>128</v>
      </c>
      <c r="E91" s="7" t="s">
        <v>187</v>
      </c>
      <c r="F91" s="9">
        <f>MATCH(Table[[#This Row],[Years of Service]], {"&lt;1","1-5","6-10","11-20","21-30","31-40","40+"}, 0)</f>
        <v>6</v>
      </c>
      <c r="G91" t="s">
        <v>189</v>
      </c>
      <c r="H91" t="s">
        <v>205</v>
      </c>
      <c r="I91" t="s">
        <v>188</v>
      </c>
      <c r="J91" t="s">
        <v>188</v>
      </c>
      <c r="K91" t="str" cm="1">
        <f t="array" ref="K91">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1" t="s">
        <v>188</v>
      </c>
      <c r="M91" t="str" cm="1">
        <f t="array" ref="M91">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Attendee</v>
      </c>
      <c r="O91" t="s">
        <v>199</v>
      </c>
      <c r="P91" t="s">
        <v>188</v>
      </c>
      <c r="Q91" t="s">
        <v>188</v>
      </c>
    </row>
    <row r="92" spans="1:17" x14ac:dyDescent="0.35">
      <c r="A92">
        <v>91</v>
      </c>
      <c r="B92" t="s">
        <v>43</v>
      </c>
      <c r="C92" t="s">
        <v>108</v>
      </c>
      <c r="D92" t="s">
        <v>136</v>
      </c>
      <c r="E92" s="7" t="s">
        <v>187</v>
      </c>
      <c r="F92" s="9">
        <f>MATCH(Table[[#This Row],[Years of Service]], {"&lt;1","1-5","6-10","11-20","21-30","31-40","40+"}, 0)</f>
        <v>6</v>
      </c>
      <c r="G92" t="s">
        <v>189</v>
      </c>
      <c r="H92" t="s">
        <v>205</v>
      </c>
      <c r="I92" t="s">
        <v>188</v>
      </c>
      <c r="J92" t="s">
        <v>188</v>
      </c>
      <c r="K92" t="str" cm="1">
        <f t="array" ref="K92">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2" t="s">
        <v>189</v>
      </c>
      <c r="M92" t="str" cm="1">
        <f t="array" ref="M92">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92" t="s">
        <v>197</v>
      </c>
      <c r="O92" t="s">
        <v>203</v>
      </c>
      <c r="P92" t="s">
        <v>189</v>
      </c>
      <c r="Q92" t="s">
        <v>188</v>
      </c>
    </row>
    <row r="93" spans="1:17" x14ac:dyDescent="0.35">
      <c r="A93">
        <v>92</v>
      </c>
      <c r="B93" t="s">
        <v>77</v>
      </c>
      <c r="C93" t="s">
        <v>106</v>
      </c>
      <c r="D93" t="s">
        <v>164</v>
      </c>
      <c r="E93" s="7" t="s">
        <v>187</v>
      </c>
      <c r="F93" s="9">
        <f>MATCH(Table[[#This Row],[Years of Service]], {"&lt;1","1-5","6-10","11-20","21-30","31-40","40+"}, 0)</f>
        <v>6</v>
      </c>
      <c r="G93" t="s">
        <v>189</v>
      </c>
      <c r="H93" t="s">
        <v>205</v>
      </c>
      <c r="I93" t="s">
        <v>188</v>
      </c>
      <c r="J93" t="s">
        <v>189</v>
      </c>
      <c r="K93" t="str" cm="1">
        <f t="array" ref="K93">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v>
      </c>
      <c r="L93" t="s">
        <v>189</v>
      </c>
      <c r="M93" t="str" cm="1">
        <f t="array" ref="M93">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Office Aware Non-attendee</v>
      </c>
      <c r="N93" t="s">
        <v>193</v>
      </c>
      <c r="O93" t="s">
        <v>198</v>
      </c>
      <c r="P93" t="s">
        <v>188</v>
      </c>
      <c r="Q93" t="s">
        <v>201</v>
      </c>
    </row>
    <row r="94" spans="1:17" x14ac:dyDescent="0.35">
      <c r="A94">
        <v>93</v>
      </c>
      <c r="B94" t="s">
        <v>83</v>
      </c>
      <c r="C94" t="s">
        <v>106</v>
      </c>
      <c r="D94" t="s">
        <v>125</v>
      </c>
      <c r="E94" s="7" t="s">
        <v>187</v>
      </c>
      <c r="F94" s="9">
        <f>MATCH(Table[[#This Row],[Years of Service]], {"&lt;1","1-5","6-10","11-20","21-30","31-40","40+"}, 0)</f>
        <v>6</v>
      </c>
      <c r="G94" t="s">
        <v>188</v>
      </c>
      <c r="H94" t="s">
        <v>4</v>
      </c>
      <c r="I94" t="s">
        <v>188</v>
      </c>
      <c r="J94" t="s">
        <v>188</v>
      </c>
      <c r="K94" t="str" cm="1">
        <f t="array" ref="K94">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4" t="s">
        <v>189</v>
      </c>
      <c r="M94" t="str" cm="1">
        <f t="array" ref="M94">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94" t="s">
        <v>195</v>
      </c>
      <c r="O94" t="s">
        <v>203</v>
      </c>
      <c r="P94" t="s">
        <v>188</v>
      </c>
      <c r="Q94" t="s">
        <v>188</v>
      </c>
    </row>
    <row r="95" spans="1:17" x14ac:dyDescent="0.35">
      <c r="A95">
        <v>94</v>
      </c>
      <c r="B95" t="s">
        <v>85</v>
      </c>
      <c r="C95" t="s">
        <v>106</v>
      </c>
      <c r="D95" t="s">
        <v>109</v>
      </c>
      <c r="E95" s="7" t="s">
        <v>187</v>
      </c>
      <c r="F95" s="9">
        <f>MATCH(Table[[#This Row],[Years of Service]], {"&lt;1","1-5","6-10","11-20","21-30","31-40","40+"}, 0)</f>
        <v>6</v>
      </c>
      <c r="G95" t="s">
        <v>189</v>
      </c>
      <c r="H95" t="s">
        <v>205</v>
      </c>
      <c r="I95" t="s">
        <v>188</v>
      </c>
      <c r="J95" t="s">
        <v>188</v>
      </c>
      <c r="K95" t="str" cm="1">
        <f t="array" ref="K95">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Aware of office &amp; meeting</v>
      </c>
      <c r="L95" t="s">
        <v>189</v>
      </c>
      <c r="M95" t="str" cm="1">
        <f t="array" ref="M95">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Aware Non-attendee</v>
      </c>
      <c r="N95" t="s">
        <v>190</v>
      </c>
      <c r="O95" t="s">
        <v>203</v>
      </c>
      <c r="P95" t="s">
        <v>188</v>
      </c>
      <c r="Q95" t="s">
        <v>188</v>
      </c>
    </row>
    <row r="96" spans="1:17" x14ac:dyDescent="0.35">
      <c r="A96">
        <v>95</v>
      </c>
      <c r="B96" t="s">
        <v>86</v>
      </c>
      <c r="C96" t="s">
        <v>106</v>
      </c>
      <c r="D96" t="s">
        <v>113</v>
      </c>
      <c r="E96" s="7" t="s">
        <v>187</v>
      </c>
      <c r="F96" s="9">
        <f>MATCH(Table[[#This Row],[Years of Service]], {"&lt;1","1-5","6-10","11-20","21-30","31-40","40+"}, 0)</f>
        <v>6</v>
      </c>
      <c r="G96" t="s">
        <v>189</v>
      </c>
      <c r="H96" t="s">
        <v>205</v>
      </c>
      <c r="I96" t="s">
        <v>189</v>
      </c>
      <c r="J96" t="s">
        <v>189</v>
      </c>
      <c r="K96" t="str" cm="1">
        <f t="array" ref="K96">_xlfn.IFS(AND(Table[[#This Row],[Aware: Safety &amp; Wellness Office]]="Yes",Table[[#This Row],[Aware: Monthly Meetings]]="Yes"), "Aware of office &amp; meeting", AND(Table[[#This Row],[Aware: Safety &amp; Wellness Office]]="Yes", Table[[#This Row],[Aware: Monthly Meetings]]="No"), "Aware of office",  AND(Table[[#This Row],[Aware: Safety &amp; Wellness Office]]="No", Table[[#This Row],[Aware: Monthly Meetings]]="Yes"), "Aware of meeting", AND(Table[[#This Row],[Aware: Safety &amp; Wellness Office]]="No", Table[[#This Row],[Aware: Monthly Meetings]]="No"),"Unaware of office &amp; meeting", TRUE,  "Check Data")</f>
        <v>Unaware of office &amp; meeting</v>
      </c>
      <c r="L96" t="s">
        <v>189</v>
      </c>
      <c r="M96" t="str" cm="1">
        <f t="array" ref="M96">_xlfn.IFS(AND(Table[[#This Row],[Aware: Safety &amp; Wellness Office]]="Yes",Table[[#This Row],[Aware: Monthly Meetings]]="Yes",Table[[#This Row],[Attended in Past 3 Years]]="Yes"), "Aware Attendee", AND(Table[[#This Row],[Aware: Safety &amp; Wellness Office]]="Yes",Table[[#This Row],[Aware: Monthly Meetings]]="No",Table[[#This Row],[Attended in Past 3 Years]]="Yes"), "Office Aware Attendee", AND(Table[[#This Row],[Aware: Safety &amp; Wellness Office]]="No",Table[[#This Row],[Aware: Monthly Meetings]]="Yes",Table[[#This Row],[Attended in Past 3 Years]]="Yes"), "Meeting  Aware Attendee", AND(Table[[#This Row],[Aware: Safety &amp; Wellness Office]]="No",Table[[#This Row],[Aware: Monthly Meetings]]="No",Table[[#This Row],[Attended in Past 3 Years]]="Yes"), "Unaware Attendee", AND(Table[[#This Row],[Aware: Safety &amp; Wellness Office]]="No",Table[[#This Row],[Aware: Monthly Meetings]]="No",Table[[#This Row],[Attended in Past 3 Years]]="No"), "Unaware Non-attendee", AND(Table[[#This Row],[Aware: Safety &amp; Wellness Office]]="Yes",Table[[#This Row],[Aware: Monthly Meetings]]="No",Table[[#This Row],[Attended in Past 3 Years]]="No"), "Office Aware Non-attendee", AND(Table[[#This Row],[Aware: Safety &amp; Wellness Office]]="No",Table[[#This Row],[Aware: Monthly Meetings]]="Yes",Table[[#This Row],[Attended in Past 3 Years]]="No"), "Meeting Aware Non-attendee", AND(Table[[#This Row],[Aware: Safety &amp; Wellness Office]]="Yes",Table[[#This Row],[Aware: Monthly Meetings]]="Yes",Table[[#This Row],[Attended in Past 3 Years]]="No"), "Aware Non-attendee", TRUE, "Check Data")</f>
        <v>Unaware Non-attendee</v>
      </c>
      <c r="N96" t="s">
        <v>193</v>
      </c>
      <c r="O96" t="s">
        <v>198</v>
      </c>
      <c r="P96" t="s">
        <v>189</v>
      </c>
      <c r="Q96" t="s">
        <v>189</v>
      </c>
    </row>
  </sheetData>
  <phoneticPr fontId="3" type="noConversion"/>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28254-B9FD-D04A-ACF5-A815029BA1C2}">
  <dimension ref="A3:X21"/>
  <sheetViews>
    <sheetView workbookViewId="0">
      <selection activeCell="E17" sqref="E17"/>
    </sheetView>
  </sheetViews>
  <sheetFormatPr defaultColWidth="11.453125" defaultRowHeight="14.5" x14ac:dyDescent="0.35"/>
  <cols>
    <col min="1" max="1" width="27" bestFit="1" customWidth="1"/>
    <col min="2" max="2" width="9.453125" bestFit="1" customWidth="1"/>
    <col min="3" max="3" width="13.1796875" bestFit="1" customWidth="1"/>
    <col min="4" max="4" width="10.81640625" bestFit="1" customWidth="1"/>
    <col min="6" max="6" width="26.1796875" bestFit="1" customWidth="1"/>
    <col min="7" max="7" width="9.453125" bestFit="1" customWidth="1"/>
    <col min="8" max="8" width="10.81640625" bestFit="1" customWidth="1"/>
    <col min="11" max="12" width="13.1796875" bestFit="1" customWidth="1"/>
    <col min="13" max="13" width="9.453125" bestFit="1" customWidth="1"/>
    <col min="14" max="14" width="28.1796875" bestFit="1" customWidth="1"/>
    <col min="15" max="15" width="9.453125" bestFit="1" customWidth="1"/>
    <col min="17" max="17" width="27" bestFit="1" customWidth="1"/>
    <col min="18" max="18" width="10.81640625" bestFit="1" customWidth="1"/>
    <col min="19" max="19" width="28.1796875" bestFit="1" customWidth="1"/>
    <col min="20" max="20" width="17" bestFit="1" customWidth="1"/>
    <col min="21" max="21" width="9.453125" bestFit="1" customWidth="1"/>
    <col min="23" max="23" width="26.1796875" bestFit="1" customWidth="1"/>
    <col min="24" max="24" width="10.81640625" bestFit="1" customWidth="1"/>
    <col min="25" max="26" width="8.453125" bestFit="1" customWidth="1"/>
  </cols>
  <sheetData>
    <row r="3" spans="1:24" x14ac:dyDescent="0.35">
      <c r="A3" t="s">
        <v>213</v>
      </c>
      <c r="C3" s="2" t="s">
        <v>211</v>
      </c>
      <c r="D3" t="s">
        <v>213</v>
      </c>
      <c r="G3" s="2" t="s">
        <v>211</v>
      </c>
      <c r="H3" t="s">
        <v>213</v>
      </c>
      <c r="K3" s="2" t="s">
        <v>211</v>
      </c>
      <c r="L3" t="s">
        <v>213</v>
      </c>
      <c r="N3" s="2" t="s">
        <v>226</v>
      </c>
      <c r="O3" t="s">
        <v>225</v>
      </c>
      <c r="Q3" s="2" t="s">
        <v>211</v>
      </c>
      <c r="R3" t="s">
        <v>213</v>
      </c>
      <c r="T3" s="2" t="s">
        <v>227</v>
      </c>
      <c r="U3" t="s">
        <v>225</v>
      </c>
      <c r="W3" s="2" t="s">
        <v>211</v>
      </c>
      <c r="X3" t="s">
        <v>213</v>
      </c>
    </row>
    <row r="4" spans="1:24" x14ac:dyDescent="0.35">
      <c r="A4">
        <v>95</v>
      </c>
      <c r="C4" s="3" t="s">
        <v>188</v>
      </c>
      <c r="D4" s="5">
        <v>0.73684210526315785</v>
      </c>
      <c r="G4" s="3" t="s">
        <v>188</v>
      </c>
      <c r="H4" s="5">
        <v>0.6</v>
      </c>
      <c r="K4" s="3" t="s">
        <v>188</v>
      </c>
      <c r="L4" s="5">
        <v>0.30526315789473685</v>
      </c>
      <c r="N4" s="3" t="s">
        <v>188</v>
      </c>
      <c r="O4" s="5">
        <v>0.69473684210526321</v>
      </c>
      <c r="Q4" s="3" t="s">
        <v>214</v>
      </c>
      <c r="R4">
        <v>13</v>
      </c>
      <c r="T4" s="3" t="s">
        <v>108</v>
      </c>
      <c r="U4">
        <v>39</v>
      </c>
      <c r="W4" s="3" t="s">
        <v>217</v>
      </c>
      <c r="X4">
        <v>29</v>
      </c>
    </row>
    <row r="5" spans="1:24" x14ac:dyDescent="0.35">
      <c r="C5" s="3" t="s">
        <v>189</v>
      </c>
      <c r="D5" s="5">
        <v>0.26315789473684209</v>
      </c>
      <c r="G5" s="3" t="s">
        <v>189</v>
      </c>
      <c r="H5" s="5">
        <v>0.4</v>
      </c>
      <c r="K5" s="3" t="s">
        <v>189</v>
      </c>
      <c r="L5" s="5">
        <v>0.69473684210526321</v>
      </c>
      <c r="N5" s="3" t="s">
        <v>189</v>
      </c>
      <c r="O5" s="5">
        <v>0.30526315789473685</v>
      </c>
      <c r="Q5" s="3" t="s">
        <v>215</v>
      </c>
      <c r="R5">
        <v>57</v>
      </c>
      <c r="T5" s="3" t="s">
        <v>107</v>
      </c>
      <c r="U5">
        <v>20</v>
      </c>
      <c r="W5" s="3" t="s">
        <v>218</v>
      </c>
      <c r="X5">
        <v>28</v>
      </c>
    </row>
    <row r="6" spans="1:24" x14ac:dyDescent="0.35">
      <c r="C6" s="3" t="s">
        <v>212</v>
      </c>
      <c r="D6" s="5">
        <v>1</v>
      </c>
      <c r="G6" s="3" t="s">
        <v>212</v>
      </c>
      <c r="H6" s="5">
        <v>1</v>
      </c>
      <c r="K6" s="3" t="s">
        <v>212</v>
      </c>
      <c r="L6" s="5">
        <v>1</v>
      </c>
      <c r="N6" s="3" t="s">
        <v>212</v>
      </c>
      <c r="O6" s="5">
        <v>1</v>
      </c>
      <c r="Q6" s="3" t="s">
        <v>216</v>
      </c>
      <c r="R6">
        <v>25</v>
      </c>
      <c r="T6" s="3" t="s">
        <v>106</v>
      </c>
      <c r="U6">
        <v>36</v>
      </c>
      <c r="W6" s="3" t="s">
        <v>219</v>
      </c>
      <c r="X6">
        <v>13</v>
      </c>
    </row>
    <row r="7" spans="1:24" x14ac:dyDescent="0.35">
      <c r="W7" s="3" t="s">
        <v>220</v>
      </c>
      <c r="X7">
        <v>25</v>
      </c>
    </row>
    <row r="10" spans="1:24" x14ac:dyDescent="0.35">
      <c r="A10" t="s">
        <v>221</v>
      </c>
      <c r="C10" t="s">
        <v>222</v>
      </c>
      <c r="G10" t="s">
        <v>223</v>
      </c>
      <c r="K10" t="s">
        <v>224</v>
      </c>
      <c r="N10" t="s">
        <v>226</v>
      </c>
    </row>
    <row r="11" spans="1:24" x14ac:dyDescent="0.35">
      <c r="A11">
        <f>IFERROR(GETPIVOTDATA("ID",$A$3), 0)</f>
        <v>95</v>
      </c>
      <c r="C11" s="4">
        <f>IFERROR(GETPIVOTDATA("ID",$C$3,"Aware: Safety &amp; Wellness Office","Yes"),0)</f>
        <v>0.73684210526315785</v>
      </c>
      <c r="G11" s="4">
        <f>IFERROR(GETPIVOTDATA("ID",$G$3,"Aware: Monthly Meetings","Yes"), 0)</f>
        <v>0.6</v>
      </c>
      <c r="K11" s="4">
        <f>IFERROR(GETPIVOTDATA("ID",$K$3,"Attended in Past 3 Years","Yes"), 0)</f>
        <v>0.30526315789473685</v>
      </c>
      <c r="N11" s="4">
        <f>IFERROR(GETPIVOTDATA("ID",$N$3,"Interest in Future Meetings (Yes/No)","Yes"), 0)</f>
        <v>0.69473684210526321</v>
      </c>
    </row>
    <row r="16" spans="1:24" x14ac:dyDescent="0.35">
      <c r="A16" s="2" t="s">
        <v>206</v>
      </c>
      <c r="B16" t="s">
        <v>225</v>
      </c>
      <c r="F16" s="2" t="s">
        <v>209</v>
      </c>
      <c r="G16" t="s">
        <v>225</v>
      </c>
    </row>
    <row r="17" spans="1:20" x14ac:dyDescent="0.35">
      <c r="A17" s="3" t="s">
        <v>214</v>
      </c>
      <c r="B17" s="5">
        <v>0.1368421052631579</v>
      </c>
      <c r="F17" s="3" t="s">
        <v>217</v>
      </c>
      <c r="G17" s="5">
        <v>0.30526315789473685</v>
      </c>
      <c r="L17" s="2" t="s">
        <v>211</v>
      </c>
      <c r="M17" t="s">
        <v>225</v>
      </c>
      <c r="S17" s="2" t="s">
        <v>226</v>
      </c>
      <c r="T17" t="s">
        <v>225</v>
      </c>
    </row>
    <row r="18" spans="1:20" x14ac:dyDescent="0.35">
      <c r="A18" s="3" t="s">
        <v>215</v>
      </c>
      <c r="B18" s="5">
        <v>0.6</v>
      </c>
      <c r="F18" s="3" t="s">
        <v>218</v>
      </c>
      <c r="G18" s="5">
        <v>0.29473684210526313</v>
      </c>
      <c r="L18" s="3" t="s">
        <v>199</v>
      </c>
      <c r="M18">
        <v>33</v>
      </c>
      <c r="S18" s="3" t="s">
        <v>188</v>
      </c>
      <c r="T18">
        <v>66</v>
      </c>
    </row>
    <row r="19" spans="1:20" x14ac:dyDescent="0.35">
      <c r="A19" s="3" t="s">
        <v>216</v>
      </c>
      <c r="B19" s="5">
        <v>0.26315789473684209</v>
      </c>
      <c r="F19" s="3" t="s">
        <v>219</v>
      </c>
      <c r="G19" s="5">
        <v>0.1368421052631579</v>
      </c>
      <c r="L19" s="3" t="s">
        <v>203</v>
      </c>
      <c r="M19">
        <v>22</v>
      </c>
      <c r="S19" s="3" t="s">
        <v>189</v>
      </c>
      <c r="T19">
        <v>29</v>
      </c>
    </row>
    <row r="20" spans="1:20" x14ac:dyDescent="0.35">
      <c r="A20" s="3" t="s">
        <v>212</v>
      </c>
      <c r="B20" s="5">
        <v>1</v>
      </c>
      <c r="F20" s="3" t="s">
        <v>220</v>
      </c>
      <c r="G20" s="5">
        <v>0.26315789473684209</v>
      </c>
      <c r="L20" s="3" t="s">
        <v>198</v>
      </c>
      <c r="M20">
        <v>40</v>
      </c>
      <c r="S20" s="3" t="s">
        <v>212</v>
      </c>
      <c r="T20">
        <v>95</v>
      </c>
    </row>
    <row r="21" spans="1:20" x14ac:dyDescent="0.35">
      <c r="F21" s="3" t="s">
        <v>212</v>
      </c>
      <c r="G21" s="5">
        <v>1</v>
      </c>
      <c r="L21" s="3" t="s">
        <v>212</v>
      </c>
      <c r="M21">
        <v>95</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43B83-DEE0-5542-9CDD-2EB32C4DDF3B}">
  <dimension ref="C1:AE55"/>
  <sheetViews>
    <sheetView showGridLines="0" tabSelected="1" topLeftCell="D9" zoomScale="57" zoomScaleNormal="90" workbookViewId="0">
      <selection activeCell="E35" sqref="E35"/>
    </sheetView>
  </sheetViews>
  <sheetFormatPr defaultColWidth="11.453125" defaultRowHeight="14.5" x14ac:dyDescent="0.35"/>
  <cols>
    <col min="6" max="6" width="11.453125" customWidth="1"/>
    <col min="7" max="7" width="5" customWidth="1"/>
    <col min="21" max="21" width="32.6328125" bestFit="1" customWidth="1"/>
    <col min="23" max="23" width="5.453125" customWidth="1"/>
    <col min="24" max="24" width="28.453125" bestFit="1" customWidth="1"/>
    <col min="25" max="25" width="10.81640625" customWidth="1"/>
  </cols>
  <sheetData>
    <row r="1" spans="3:31" x14ac:dyDescent="0.35">
      <c r="C1" s="11"/>
      <c r="D1" s="11"/>
      <c r="E1" s="11"/>
      <c r="F1" s="11"/>
    </row>
    <row r="2" spans="3:31" x14ac:dyDescent="0.35">
      <c r="C2" s="11"/>
      <c r="D2" s="11"/>
      <c r="E2" s="11"/>
      <c r="F2" s="11"/>
    </row>
    <row r="3" spans="3:31" x14ac:dyDescent="0.35">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0"/>
    </row>
    <row r="4" spans="3:31" x14ac:dyDescent="0.35">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row>
    <row r="5" spans="3:31" x14ac:dyDescent="0.35">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row>
    <row r="6" spans="3:31" x14ac:dyDescent="0.35">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row>
    <row r="7" spans="3:31" x14ac:dyDescent="0.35">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row>
    <row r="8" spans="3:31" x14ac:dyDescent="0.35">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3:31" x14ac:dyDescent="0.35">
      <c r="C9" s="11"/>
      <c r="D9" s="11"/>
      <c r="E9" s="11"/>
      <c r="F9" s="11"/>
      <c r="G9" s="14"/>
      <c r="H9" s="14"/>
      <c r="I9" s="14"/>
      <c r="J9" s="14"/>
      <c r="K9" s="14"/>
      <c r="L9" s="14"/>
      <c r="M9" s="14"/>
      <c r="N9" s="14"/>
      <c r="O9" s="14"/>
      <c r="P9" s="14"/>
      <c r="Q9" s="14"/>
      <c r="R9" s="14"/>
      <c r="S9" s="14"/>
      <c r="T9" s="14"/>
      <c r="U9" s="14"/>
      <c r="V9" s="14"/>
      <c r="W9" s="14"/>
      <c r="X9" s="11"/>
      <c r="Y9" s="11"/>
      <c r="Z9" s="11"/>
      <c r="AA9" s="11"/>
      <c r="AB9" s="11"/>
      <c r="AC9" s="11"/>
      <c r="AD9" s="11"/>
    </row>
    <row r="10" spans="3:31" x14ac:dyDescent="0.35">
      <c r="C10" s="11"/>
      <c r="D10" s="11"/>
      <c r="E10" s="11"/>
      <c r="F10" s="11"/>
      <c r="G10" s="14"/>
      <c r="H10" s="14"/>
      <c r="I10" s="14"/>
      <c r="J10" s="14"/>
      <c r="K10" s="14"/>
      <c r="L10" s="14"/>
      <c r="M10" s="14"/>
      <c r="N10" s="14"/>
      <c r="O10" s="14"/>
      <c r="P10" s="14"/>
      <c r="Q10" s="14"/>
      <c r="R10" s="14"/>
      <c r="S10" s="14"/>
      <c r="T10" s="14"/>
      <c r="U10" s="14"/>
      <c r="V10" s="14"/>
      <c r="W10" s="14"/>
      <c r="X10" s="11"/>
      <c r="Y10" s="11"/>
      <c r="Z10" s="11"/>
      <c r="AA10" s="11"/>
      <c r="AB10" s="11"/>
      <c r="AC10" s="11"/>
      <c r="AD10" s="11"/>
    </row>
    <row r="11" spans="3:31" x14ac:dyDescent="0.35">
      <c r="C11" s="11"/>
      <c r="D11" s="11"/>
      <c r="E11" s="11"/>
      <c r="F11" s="11"/>
      <c r="G11" s="14"/>
      <c r="H11" s="14"/>
      <c r="I11" s="14"/>
      <c r="J11" s="14"/>
      <c r="K11" s="14"/>
      <c r="L11" s="14"/>
      <c r="M11" s="14"/>
      <c r="N11" s="14"/>
      <c r="O11" s="14"/>
      <c r="P11" s="14"/>
      <c r="Q11" s="14"/>
      <c r="R11" s="14"/>
      <c r="S11" s="14"/>
      <c r="T11" s="14"/>
      <c r="U11" s="14"/>
      <c r="V11" s="14"/>
      <c r="W11" s="14"/>
      <c r="X11" s="11"/>
      <c r="Y11" s="11"/>
      <c r="Z11" s="11"/>
      <c r="AA11" s="11"/>
      <c r="AB11" s="11"/>
      <c r="AC11" s="11"/>
      <c r="AD11" s="11"/>
    </row>
    <row r="12" spans="3:31" x14ac:dyDescent="0.35">
      <c r="C12" s="11"/>
      <c r="D12" s="11"/>
      <c r="E12" s="11"/>
      <c r="F12" s="11"/>
      <c r="G12" s="14"/>
      <c r="H12" s="14"/>
      <c r="I12" s="14"/>
      <c r="J12" s="14"/>
      <c r="K12" s="14"/>
      <c r="L12" s="14"/>
      <c r="M12" s="14"/>
      <c r="N12" s="14"/>
      <c r="O12" s="14"/>
      <c r="P12" s="14"/>
      <c r="Q12" s="14"/>
      <c r="R12" s="14"/>
      <c r="S12" s="14"/>
      <c r="T12" s="14"/>
      <c r="U12" s="14"/>
      <c r="V12" s="14"/>
      <c r="W12" s="14"/>
      <c r="X12" s="11"/>
      <c r="Y12" s="11"/>
      <c r="Z12" s="11"/>
      <c r="AA12" s="11"/>
      <c r="AB12" s="11"/>
      <c r="AC12" s="11"/>
      <c r="AD12" s="11"/>
    </row>
    <row r="13" spans="3:31" x14ac:dyDescent="0.35">
      <c r="C13" s="11"/>
      <c r="D13" s="11"/>
      <c r="E13" s="11"/>
      <c r="F13" s="11"/>
      <c r="G13" s="14"/>
      <c r="H13" s="14"/>
      <c r="I13" s="14"/>
      <c r="J13" s="14"/>
      <c r="K13" s="14"/>
      <c r="L13" s="14"/>
      <c r="M13" s="14"/>
      <c r="N13" s="14"/>
      <c r="O13" s="14"/>
      <c r="P13" s="14"/>
      <c r="Q13" s="14"/>
      <c r="R13" s="14"/>
      <c r="S13" s="14"/>
      <c r="T13" s="14"/>
      <c r="U13" s="14"/>
      <c r="V13" s="14"/>
      <c r="W13" s="14"/>
      <c r="X13" s="11"/>
      <c r="Y13" s="11"/>
      <c r="Z13" s="11"/>
      <c r="AA13" s="11"/>
      <c r="AB13" s="11"/>
      <c r="AC13" s="11"/>
      <c r="AD13" s="11"/>
    </row>
    <row r="14" spans="3:31" x14ac:dyDescent="0.35">
      <c r="C14" s="11"/>
      <c r="D14" s="11"/>
      <c r="E14" s="11"/>
      <c r="F14" s="11"/>
      <c r="G14" s="14"/>
      <c r="H14" s="14"/>
      <c r="I14" s="14"/>
      <c r="J14" s="14"/>
      <c r="K14" s="14"/>
      <c r="L14" s="14"/>
      <c r="M14" s="14"/>
      <c r="N14" s="14"/>
      <c r="O14" s="14"/>
      <c r="P14" s="14"/>
      <c r="Q14" s="14"/>
      <c r="R14" s="14"/>
      <c r="S14" s="14"/>
      <c r="T14" s="14"/>
      <c r="U14" s="14"/>
      <c r="V14" s="14"/>
      <c r="W14" s="14"/>
      <c r="X14" s="11"/>
      <c r="Y14" s="11"/>
      <c r="Z14" s="11"/>
      <c r="AA14" s="11"/>
      <c r="AB14" s="11"/>
      <c r="AC14" s="11"/>
      <c r="AD14" s="11"/>
    </row>
    <row r="15" spans="3:31" x14ac:dyDescent="0.35">
      <c r="C15" s="11"/>
      <c r="D15" s="11"/>
      <c r="E15" s="11"/>
      <c r="F15" s="11"/>
      <c r="G15" s="14"/>
      <c r="H15" s="14"/>
      <c r="I15" s="14"/>
      <c r="J15" s="14"/>
      <c r="K15" s="14"/>
      <c r="L15" s="14"/>
      <c r="M15" s="14"/>
      <c r="N15" s="14"/>
      <c r="O15" s="14"/>
      <c r="P15" s="14"/>
      <c r="Q15" s="14"/>
      <c r="R15" s="14"/>
      <c r="S15" s="14"/>
      <c r="T15" s="14"/>
      <c r="U15" s="14"/>
      <c r="V15" s="14"/>
      <c r="W15" s="14"/>
      <c r="X15" s="11"/>
      <c r="Y15" s="11"/>
      <c r="Z15" s="11"/>
      <c r="AA15" s="11"/>
      <c r="AB15" s="11"/>
      <c r="AC15" s="11"/>
      <c r="AD15" s="11"/>
    </row>
    <row r="16" spans="3:31" x14ac:dyDescent="0.35">
      <c r="C16" s="11"/>
      <c r="D16" s="11"/>
      <c r="E16" s="11"/>
      <c r="F16" s="11"/>
      <c r="G16" s="14"/>
      <c r="H16" s="14"/>
      <c r="I16" s="14"/>
      <c r="J16" s="14"/>
      <c r="K16" s="14"/>
      <c r="L16" s="14"/>
      <c r="M16" s="14"/>
      <c r="N16" s="14"/>
      <c r="O16" s="14"/>
      <c r="P16" s="14"/>
      <c r="Q16" s="14"/>
      <c r="R16" s="14"/>
      <c r="S16" s="14"/>
      <c r="T16" s="14"/>
      <c r="U16" s="14"/>
      <c r="V16" s="14"/>
      <c r="W16" s="14"/>
      <c r="X16" s="11"/>
      <c r="Y16" s="11"/>
      <c r="Z16" s="11"/>
      <c r="AA16" s="11"/>
      <c r="AB16" s="11"/>
      <c r="AC16" s="11"/>
      <c r="AD16" s="11"/>
    </row>
    <row r="17" spans="3:30" ht="21" x14ac:dyDescent="0.5">
      <c r="C17" s="11"/>
      <c r="D17" s="11"/>
      <c r="E17" s="11"/>
      <c r="F17" s="11"/>
      <c r="G17" s="14"/>
      <c r="H17" s="14"/>
      <c r="I17" s="14"/>
      <c r="J17" s="14"/>
      <c r="K17" s="14"/>
      <c r="L17" s="14"/>
      <c r="M17" s="14"/>
      <c r="N17" s="14"/>
      <c r="O17" s="14"/>
      <c r="P17" s="14"/>
      <c r="Q17" s="14"/>
      <c r="R17" s="14"/>
      <c r="S17" s="14"/>
      <c r="T17" s="14"/>
      <c r="U17" s="14"/>
      <c r="V17" s="14"/>
      <c r="W17" s="14"/>
      <c r="X17" s="12"/>
      <c r="Y17" s="12"/>
      <c r="Z17" s="11"/>
      <c r="AA17" s="11"/>
      <c r="AB17" s="11"/>
      <c r="AC17" s="11"/>
      <c r="AD17" s="11"/>
    </row>
    <row r="18" spans="3:30" ht="21" customHeight="1" x14ac:dyDescent="0.5">
      <c r="C18" s="11"/>
      <c r="D18" s="11"/>
      <c r="E18" s="11"/>
      <c r="F18" s="11"/>
      <c r="G18" s="14"/>
      <c r="H18" s="14"/>
      <c r="I18" s="14"/>
      <c r="J18" s="14"/>
      <c r="K18" s="14"/>
      <c r="L18" s="14"/>
      <c r="M18" s="14"/>
      <c r="N18" s="14"/>
      <c r="O18" s="14"/>
      <c r="P18" s="14"/>
      <c r="Q18" s="14"/>
      <c r="R18" s="14"/>
      <c r="S18" s="14"/>
      <c r="T18" s="15"/>
      <c r="U18" s="16"/>
      <c r="V18" s="14"/>
      <c r="W18" s="14"/>
      <c r="X18" s="12"/>
      <c r="Y18" s="12"/>
      <c r="Z18" s="11"/>
      <c r="AA18" s="11"/>
      <c r="AB18" s="11"/>
      <c r="AC18" s="11"/>
      <c r="AD18" s="11"/>
    </row>
    <row r="19" spans="3:30" ht="21" customHeight="1" x14ac:dyDescent="0.5">
      <c r="C19" s="11"/>
      <c r="D19" s="11"/>
      <c r="E19" s="11"/>
      <c r="F19" s="11"/>
      <c r="G19" s="14"/>
      <c r="H19" s="14"/>
      <c r="I19" s="14"/>
      <c r="J19" s="14"/>
      <c r="K19" s="14"/>
      <c r="L19" s="14"/>
      <c r="M19" s="14"/>
      <c r="N19" s="14"/>
      <c r="O19" s="14"/>
      <c r="P19" s="14"/>
      <c r="Q19" s="14"/>
      <c r="R19" s="14"/>
      <c r="S19" s="14"/>
      <c r="T19" s="15"/>
      <c r="U19" s="16"/>
      <c r="V19" s="14"/>
      <c r="W19" s="14"/>
      <c r="X19" s="12"/>
      <c r="Y19" s="12"/>
      <c r="Z19" s="11"/>
      <c r="AA19" s="11"/>
      <c r="AB19" s="11"/>
      <c r="AC19" s="11"/>
      <c r="AD19" s="11"/>
    </row>
    <row r="20" spans="3:30" ht="21" x14ac:dyDescent="0.5">
      <c r="C20" s="11"/>
      <c r="D20" s="11"/>
      <c r="E20" s="11"/>
      <c r="F20" s="11"/>
      <c r="G20" s="14"/>
      <c r="H20" s="14"/>
      <c r="I20" s="14"/>
      <c r="J20" s="14"/>
      <c r="K20" s="14"/>
      <c r="L20" s="14"/>
      <c r="M20" s="14"/>
      <c r="N20" s="14"/>
      <c r="O20" s="14"/>
      <c r="P20" s="14"/>
      <c r="Q20" s="14"/>
      <c r="R20" s="14"/>
      <c r="S20" s="14"/>
      <c r="T20" s="14"/>
      <c r="U20" s="18" t="str">
        <f>IF('Pivot table'!T4="","",'Pivot table'!T4)</f>
        <v>Administration</v>
      </c>
      <c r="V20" s="18">
        <f>IF('Pivot table'!U4="","",'Pivot table'!U4)</f>
        <v>39</v>
      </c>
      <c r="W20" s="14"/>
      <c r="X20" s="12"/>
      <c r="Y20" s="12"/>
      <c r="Z20" s="11"/>
      <c r="AA20" s="11"/>
      <c r="AB20" s="11"/>
      <c r="AC20" s="11"/>
      <c r="AD20" s="11"/>
    </row>
    <row r="21" spans="3:30" x14ac:dyDescent="0.35">
      <c r="C21" s="11"/>
      <c r="D21" s="11"/>
      <c r="E21" s="11"/>
      <c r="F21" s="11"/>
      <c r="G21" s="14"/>
      <c r="H21" s="14"/>
      <c r="I21" s="14"/>
      <c r="J21" s="14"/>
      <c r="K21" s="14"/>
      <c r="L21" s="14"/>
      <c r="M21" s="14"/>
      <c r="N21" s="14"/>
      <c r="O21" s="14"/>
      <c r="P21" s="14"/>
      <c r="Q21" s="14"/>
      <c r="R21" s="14"/>
      <c r="S21" s="14"/>
      <c r="T21" s="14"/>
      <c r="U21" s="18" t="str">
        <f>IF('Pivot table'!T5="","",'Pivot table'!T5)</f>
        <v>Repairs</v>
      </c>
      <c r="V21" s="18">
        <f>IF('Pivot table'!U5="","",'Pivot table'!U5)</f>
        <v>20</v>
      </c>
      <c r="W21" s="14"/>
      <c r="X21" s="11"/>
      <c r="Y21" s="11"/>
      <c r="Z21" s="11"/>
      <c r="AA21" s="11"/>
      <c r="AB21" s="11"/>
      <c r="AC21" s="11"/>
      <c r="AD21" s="11"/>
    </row>
    <row r="22" spans="3:30" x14ac:dyDescent="0.35">
      <c r="C22" s="11"/>
      <c r="D22" s="11"/>
      <c r="E22" s="11"/>
      <c r="F22" s="11"/>
      <c r="G22" s="14"/>
      <c r="H22" s="14"/>
      <c r="I22" s="14"/>
      <c r="J22" s="14"/>
      <c r="K22" s="14"/>
      <c r="L22" s="14"/>
      <c r="M22" s="14"/>
      <c r="N22" s="14"/>
      <c r="O22" s="14"/>
      <c r="P22" s="14"/>
      <c r="Q22" s="14"/>
      <c r="R22" s="14"/>
      <c r="S22" s="14"/>
      <c r="T22" s="14"/>
      <c r="U22" s="18" t="str">
        <f>IF('Pivot table'!T6="","",'Pivot table'!T6)</f>
        <v>Sales &amp; Marketing</v>
      </c>
      <c r="V22" s="18">
        <f>IF('Pivot table'!U6="","",'Pivot table'!U6)</f>
        <v>36</v>
      </c>
      <c r="W22" s="14"/>
      <c r="X22" s="11"/>
      <c r="Y22" s="11"/>
      <c r="Z22" s="11"/>
      <c r="AA22" s="11"/>
      <c r="AB22" s="11"/>
      <c r="AC22" s="11"/>
      <c r="AD22" s="11"/>
    </row>
    <row r="23" spans="3:30" x14ac:dyDescent="0.35">
      <c r="C23" s="11"/>
      <c r="D23" s="11"/>
      <c r="E23" s="11"/>
      <c r="F23" s="11"/>
      <c r="G23" s="14"/>
      <c r="H23" s="14"/>
      <c r="I23" s="14"/>
      <c r="J23" s="14"/>
      <c r="K23" s="14"/>
      <c r="L23" s="14"/>
      <c r="M23" s="14"/>
      <c r="N23" s="14"/>
      <c r="O23" s="14"/>
      <c r="P23" s="14"/>
      <c r="Q23" s="14"/>
      <c r="R23" s="14"/>
      <c r="S23" s="14"/>
      <c r="T23" s="14"/>
      <c r="U23" s="14" t="str">
        <f>IF('Pivot table'!T7="","",'Pivot table'!T7)</f>
        <v/>
      </c>
      <c r="V23" s="14" t="str">
        <f>IF('Pivot table'!U7="","",'Pivot table'!U7)</f>
        <v/>
      </c>
      <c r="W23" s="14"/>
      <c r="X23" s="11"/>
      <c r="Y23" s="11"/>
      <c r="Z23" s="11"/>
      <c r="AA23" s="11"/>
      <c r="AB23" s="11"/>
      <c r="AC23" s="11"/>
      <c r="AD23" s="11"/>
    </row>
    <row r="24" spans="3:30" x14ac:dyDescent="0.35">
      <c r="C24" s="11"/>
      <c r="D24" s="11"/>
      <c r="E24" s="11"/>
      <c r="F24" s="11"/>
      <c r="G24" s="14"/>
      <c r="H24" s="14"/>
      <c r="I24" s="14"/>
      <c r="J24" s="14"/>
      <c r="K24" s="14"/>
      <c r="L24" s="14"/>
      <c r="M24" s="14"/>
      <c r="N24" s="14"/>
      <c r="O24" s="14"/>
      <c r="P24" s="14"/>
      <c r="Q24" s="14"/>
      <c r="R24" s="14"/>
      <c r="S24" s="14"/>
      <c r="T24" s="14"/>
      <c r="U24" s="14"/>
      <c r="V24" s="14"/>
      <c r="W24" s="14"/>
      <c r="X24" s="11"/>
      <c r="Y24" s="11"/>
      <c r="Z24" s="11"/>
      <c r="AA24" s="11"/>
      <c r="AB24" s="11"/>
      <c r="AC24" s="11"/>
      <c r="AD24" s="11"/>
    </row>
    <row r="25" spans="3:30" x14ac:dyDescent="0.35">
      <c r="C25" s="11"/>
      <c r="D25" s="11"/>
      <c r="E25" s="11"/>
      <c r="F25" s="11"/>
      <c r="G25" s="14"/>
      <c r="H25" s="14"/>
      <c r="I25" s="14"/>
      <c r="J25" s="14"/>
      <c r="K25" s="14"/>
      <c r="L25" s="14"/>
      <c r="M25" s="14"/>
      <c r="N25" s="14"/>
      <c r="O25" s="14"/>
      <c r="P25" s="14"/>
      <c r="Q25" s="14"/>
      <c r="R25" s="14"/>
      <c r="S25" s="14"/>
      <c r="T25" s="14"/>
      <c r="U25" s="14"/>
      <c r="V25" s="14"/>
      <c r="W25" s="14"/>
      <c r="X25" s="11"/>
      <c r="Y25" s="11"/>
      <c r="Z25" s="11"/>
      <c r="AA25" s="11"/>
      <c r="AB25" s="11"/>
      <c r="AC25" s="11"/>
      <c r="AD25" s="11"/>
    </row>
    <row r="26" spans="3:30" ht="18.5" x14ac:dyDescent="0.45">
      <c r="C26" s="11"/>
      <c r="D26" s="11"/>
      <c r="E26" s="11"/>
      <c r="F26" s="11"/>
      <c r="G26" s="14"/>
      <c r="H26" s="14"/>
      <c r="I26" s="14"/>
      <c r="J26" s="14"/>
      <c r="K26" s="14"/>
      <c r="L26" s="14"/>
      <c r="M26" s="14"/>
      <c r="N26" s="14"/>
      <c r="O26" s="14"/>
      <c r="P26" s="14"/>
      <c r="Q26" s="14"/>
      <c r="R26" s="14"/>
      <c r="S26" s="14"/>
      <c r="T26" s="14"/>
      <c r="U26" s="14"/>
      <c r="V26" s="14"/>
      <c r="W26" s="14"/>
      <c r="X26" s="13"/>
      <c r="Y26" s="13"/>
      <c r="Z26" s="11"/>
      <c r="AA26" s="11"/>
      <c r="AB26" s="11"/>
      <c r="AC26" s="11"/>
      <c r="AD26" s="11"/>
    </row>
    <row r="27" spans="3:30" ht="21" x14ac:dyDescent="0.5">
      <c r="C27" s="11"/>
      <c r="D27" s="11"/>
      <c r="E27" s="11"/>
      <c r="F27" s="11"/>
      <c r="G27" s="14"/>
      <c r="H27" s="14"/>
      <c r="I27" s="14"/>
      <c r="J27" s="14"/>
      <c r="K27" s="14"/>
      <c r="L27" s="14"/>
      <c r="M27" s="14"/>
      <c r="N27" s="14"/>
      <c r="O27" s="14"/>
      <c r="P27" s="14"/>
      <c r="Q27" s="14"/>
      <c r="R27" s="14"/>
      <c r="S27" s="14"/>
      <c r="T27" s="14"/>
      <c r="U27" s="20"/>
      <c r="V27" s="21"/>
      <c r="W27" s="14"/>
      <c r="X27" s="12"/>
      <c r="Y27" s="12"/>
      <c r="Z27" s="11"/>
      <c r="AA27" s="11"/>
      <c r="AB27" s="11"/>
      <c r="AC27" s="11"/>
      <c r="AD27" s="11"/>
    </row>
    <row r="28" spans="3:30" ht="21" x14ac:dyDescent="0.5">
      <c r="C28" s="11"/>
      <c r="D28" s="11"/>
      <c r="E28" s="11"/>
      <c r="F28" s="11"/>
      <c r="G28" s="14"/>
      <c r="H28" s="14"/>
      <c r="I28" s="14"/>
      <c r="J28" s="14"/>
      <c r="K28" s="14"/>
      <c r="L28" s="14"/>
      <c r="M28" s="14"/>
      <c r="N28" s="14"/>
      <c r="O28" s="14"/>
      <c r="P28" s="14"/>
      <c r="Q28" s="14"/>
      <c r="R28" s="14"/>
      <c r="S28" s="14"/>
      <c r="T28" s="14"/>
      <c r="U28" s="18" t="str">
        <f>IF('Pivot table'!Q4="","",'Pivot table'!Q4)</f>
        <v>Aware of office</v>
      </c>
      <c r="V28" s="18">
        <f>IF('Pivot table'!R4="","",'Pivot table'!R4)</f>
        <v>13</v>
      </c>
      <c r="W28" s="14"/>
      <c r="X28" s="12"/>
      <c r="Y28" s="12"/>
      <c r="Z28" s="11"/>
      <c r="AA28" s="11"/>
      <c r="AB28" s="11"/>
      <c r="AC28" s="11"/>
      <c r="AD28" s="11"/>
    </row>
    <row r="29" spans="3:30" ht="21" x14ac:dyDescent="0.5">
      <c r="C29" s="11"/>
      <c r="D29" s="11"/>
      <c r="E29" s="11"/>
      <c r="F29" s="11"/>
      <c r="G29" s="14"/>
      <c r="H29" s="14"/>
      <c r="I29" s="14"/>
      <c r="J29" s="14"/>
      <c r="K29" s="14"/>
      <c r="L29" s="14"/>
      <c r="M29" s="14"/>
      <c r="N29" s="14"/>
      <c r="O29" s="14"/>
      <c r="P29" s="14"/>
      <c r="Q29" s="14"/>
      <c r="R29" s="14"/>
      <c r="S29" s="14"/>
      <c r="T29" s="14"/>
      <c r="U29" s="18" t="str">
        <f>IF('Pivot table'!Q5="","",'Pivot table'!Q5)</f>
        <v>Aware of office &amp; meeting</v>
      </c>
      <c r="V29" s="18">
        <f>IF('Pivot table'!R5="","",'Pivot table'!R5)</f>
        <v>57</v>
      </c>
      <c r="W29" s="14"/>
      <c r="X29" s="12"/>
      <c r="Y29" s="12"/>
      <c r="Z29" s="11"/>
      <c r="AA29" s="11"/>
      <c r="AB29" s="11"/>
      <c r="AC29" s="11"/>
      <c r="AD29" s="11"/>
    </row>
    <row r="30" spans="3:30" ht="18.5" x14ac:dyDescent="0.45">
      <c r="C30" s="11"/>
      <c r="D30" s="11"/>
      <c r="E30" s="11"/>
      <c r="F30" s="11"/>
      <c r="G30" s="14"/>
      <c r="H30" s="14"/>
      <c r="I30" s="14"/>
      <c r="J30" s="14"/>
      <c r="K30" s="14"/>
      <c r="L30" s="14"/>
      <c r="M30" s="14"/>
      <c r="N30" s="14"/>
      <c r="O30" s="14"/>
      <c r="P30" s="14"/>
      <c r="Q30" s="14"/>
      <c r="R30" s="14"/>
      <c r="S30" s="14"/>
      <c r="T30" s="14"/>
      <c r="U30" s="18" t="str">
        <f>IF('Pivot table'!Q6="","",'Pivot table'!Q6)</f>
        <v>Unaware of office &amp; meeting</v>
      </c>
      <c r="V30" s="18">
        <f>IF('Pivot table'!R6="","",'Pivot table'!R6)</f>
        <v>25</v>
      </c>
      <c r="W30" s="14"/>
      <c r="X30" s="13"/>
      <c r="Y30" s="13"/>
      <c r="Z30" s="11"/>
      <c r="AA30" s="11"/>
      <c r="AB30" s="11"/>
      <c r="AC30" s="11"/>
      <c r="AD30" s="11"/>
    </row>
    <row r="31" spans="3:30" x14ac:dyDescent="0.35">
      <c r="C31" s="11"/>
      <c r="D31" s="11"/>
      <c r="E31" s="11"/>
      <c r="F31" s="11"/>
      <c r="G31" s="14"/>
      <c r="H31" s="14"/>
      <c r="I31" s="14"/>
      <c r="J31" s="14"/>
      <c r="K31" s="14"/>
      <c r="L31" s="14"/>
      <c r="M31" s="14"/>
      <c r="N31" s="14"/>
      <c r="O31" s="14"/>
      <c r="P31" s="14"/>
      <c r="Q31" s="14"/>
      <c r="R31" s="14"/>
      <c r="S31" s="14"/>
      <c r="T31" s="14"/>
      <c r="U31" s="19"/>
      <c r="V31" s="19"/>
      <c r="W31" s="14"/>
      <c r="X31" s="11"/>
      <c r="Y31" s="11"/>
      <c r="Z31" s="11"/>
      <c r="AA31" s="11"/>
      <c r="AB31" s="11"/>
      <c r="AC31" s="11"/>
      <c r="AD31" s="11"/>
    </row>
    <row r="32" spans="3:30" x14ac:dyDescent="0.35">
      <c r="C32" s="11"/>
      <c r="D32" s="11"/>
      <c r="E32" s="11"/>
      <c r="F32" s="11"/>
      <c r="G32" s="14"/>
      <c r="H32" s="14"/>
      <c r="I32" s="14"/>
      <c r="J32" s="14"/>
      <c r="K32" s="14"/>
      <c r="L32" s="14"/>
      <c r="M32" s="14"/>
      <c r="N32" s="14"/>
      <c r="O32" s="14"/>
      <c r="P32" s="14"/>
      <c r="Q32" s="14"/>
      <c r="R32" s="14"/>
      <c r="S32" s="14"/>
      <c r="T32" s="14"/>
      <c r="U32" s="14"/>
      <c r="V32" s="14"/>
      <c r="W32" s="14"/>
      <c r="X32" s="11"/>
      <c r="Y32" s="11"/>
      <c r="Z32" s="11"/>
      <c r="AA32" s="11"/>
      <c r="AB32" s="11"/>
      <c r="AC32" s="11"/>
      <c r="AD32" s="11"/>
    </row>
    <row r="33" spans="3:30" x14ac:dyDescent="0.35">
      <c r="C33" s="11"/>
      <c r="D33" s="11"/>
      <c r="E33" s="11"/>
      <c r="F33" s="11"/>
      <c r="G33" s="14"/>
      <c r="H33" s="14"/>
      <c r="I33" s="14"/>
      <c r="J33" s="14"/>
      <c r="K33" s="14"/>
      <c r="L33" s="14"/>
      <c r="M33" s="14"/>
      <c r="N33" s="14"/>
      <c r="O33" s="14"/>
      <c r="P33" s="14"/>
      <c r="Q33" s="14"/>
      <c r="R33" s="14"/>
      <c r="S33" s="14"/>
      <c r="T33" s="14"/>
      <c r="U33" s="14"/>
      <c r="V33" s="14"/>
      <c r="W33" s="14"/>
      <c r="X33" s="11"/>
      <c r="Y33" s="11"/>
      <c r="Z33" s="11"/>
      <c r="AA33" s="11"/>
      <c r="AB33" s="11"/>
      <c r="AC33" s="11"/>
      <c r="AD33" s="11"/>
    </row>
    <row r="34" spans="3:30" ht="21" x14ac:dyDescent="0.5">
      <c r="C34" s="11"/>
      <c r="D34" s="11"/>
      <c r="E34" s="11"/>
      <c r="F34" s="11"/>
      <c r="G34" s="14"/>
      <c r="H34" s="14"/>
      <c r="I34" s="14"/>
      <c r="J34" s="14"/>
      <c r="K34" s="14"/>
      <c r="L34" s="14"/>
      <c r="M34" s="14"/>
      <c r="N34" s="14"/>
      <c r="O34" s="14"/>
      <c r="P34" s="14"/>
      <c r="Q34" s="14"/>
      <c r="R34" s="14"/>
      <c r="S34" s="14"/>
      <c r="T34" s="14"/>
      <c r="U34" s="20"/>
      <c r="V34" s="21"/>
      <c r="W34" s="14"/>
      <c r="X34" s="12"/>
      <c r="Y34" s="12"/>
      <c r="Z34" s="11"/>
      <c r="AA34" s="11"/>
      <c r="AB34" s="11"/>
      <c r="AC34" s="11"/>
      <c r="AD34" s="11"/>
    </row>
    <row r="35" spans="3:30" ht="21" x14ac:dyDescent="0.5">
      <c r="C35" s="11"/>
      <c r="D35" s="11"/>
      <c r="E35" s="11"/>
      <c r="F35" s="11"/>
      <c r="G35" s="14"/>
      <c r="H35" s="14"/>
      <c r="I35" s="14"/>
      <c r="J35" s="14"/>
      <c r="K35" s="14"/>
      <c r="L35" s="14"/>
      <c r="M35" s="14"/>
      <c r="N35" s="14"/>
      <c r="O35" s="14"/>
      <c r="P35" s="14"/>
      <c r="Q35" s="14"/>
      <c r="R35" s="14"/>
      <c r="S35" s="14"/>
      <c r="T35" s="14"/>
      <c r="U35" s="18" t="str">
        <f>IF('Pivot table'!W4="","",'Pivot table'!W4)</f>
        <v>Aware Attendee</v>
      </c>
      <c r="V35" s="18">
        <f>IF('Pivot table'!X4="","",'Pivot table'!X4)</f>
        <v>29</v>
      </c>
      <c r="W35" s="14"/>
      <c r="X35" s="12"/>
      <c r="Y35" s="12"/>
      <c r="Z35" s="11"/>
      <c r="AA35" s="11"/>
      <c r="AB35" s="11"/>
      <c r="AC35" s="11"/>
      <c r="AD35" s="11"/>
    </row>
    <row r="36" spans="3:30" ht="21" x14ac:dyDescent="0.5">
      <c r="C36" s="11"/>
      <c r="D36" s="11"/>
      <c r="E36" s="11"/>
      <c r="F36" s="11"/>
      <c r="G36" s="14"/>
      <c r="H36" s="14"/>
      <c r="I36" s="14"/>
      <c r="J36" s="14"/>
      <c r="K36" s="14"/>
      <c r="L36" s="14"/>
      <c r="M36" s="14"/>
      <c r="N36" s="14"/>
      <c r="O36" s="14"/>
      <c r="P36" s="14"/>
      <c r="Q36" s="14"/>
      <c r="R36" s="14"/>
      <c r="S36" s="14"/>
      <c r="T36" s="14"/>
      <c r="U36" s="18" t="str">
        <f>IF('Pivot table'!W5="","",'Pivot table'!W5)</f>
        <v>Aware Non-attendee</v>
      </c>
      <c r="V36" s="18">
        <f>IF('Pivot table'!X5="","",'Pivot table'!X5)</f>
        <v>28</v>
      </c>
      <c r="W36" s="14"/>
      <c r="X36" s="12"/>
      <c r="Y36" s="12"/>
      <c r="Z36" s="11"/>
      <c r="AA36" s="11"/>
      <c r="AB36" s="11"/>
      <c r="AC36" s="11"/>
      <c r="AD36" s="11"/>
    </row>
    <row r="37" spans="3:30" ht="21" x14ac:dyDescent="0.5">
      <c r="C37" s="11"/>
      <c r="D37" s="11"/>
      <c r="E37" s="11"/>
      <c r="F37" s="11"/>
      <c r="G37" s="14"/>
      <c r="H37" s="14"/>
      <c r="I37" s="14"/>
      <c r="J37" s="14"/>
      <c r="K37" s="14"/>
      <c r="L37" s="14"/>
      <c r="M37" s="14"/>
      <c r="N37" s="14"/>
      <c r="O37" s="14"/>
      <c r="P37" s="14"/>
      <c r="Q37" s="14"/>
      <c r="R37" s="14"/>
      <c r="S37" s="14"/>
      <c r="T37" s="14"/>
      <c r="U37" s="18" t="str">
        <f>IF('Pivot table'!W6="","",'Pivot table'!W6)</f>
        <v>Office Aware Non-attendee</v>
      </c>
      <c r="V37" s="18">
        <f>IF('Pivot table'!X6="","",'Pivot table'!X6)</f>
        <v>13</v>
      </c>
      <c r="W37" s="14"/>
      <c r="X37" s="12"/>
      <c r="Y37" s="12"/>
      <c r="Z37" s="11"/>
      <c r="AA37" s="11"/>
      <c r="AB37" s="11"/>
      <c r="AC37" s="11"/>
      <c r="AD37" s="11"/>
    </row>
    <row r="38" spans="3:30" x14ac:dyDescent="0.35">
      <c r="C38" s="11"/>
      <c r="D38" s="11"/>
      <c r="E38" s="11"/>
      <c r="F38" s="11"/>
      <c r="G38" s="14"/>
      <c r="H38" s="14"/>
      <c r="I38" s="14"/>
      <c r="J38" s="14"/>
      <c r="K38" s="14"/>
      <c r="L38" s="14"/>
      <c r="M38" s="14"/>
      <c r="N38" s="14"/>
      <c r="O38" s="14"/>
      <c r="P38" s="14"/>
      <c r="Q38" s="14"/>
      <c r="R38" s="14"/>
      <c r="S38" s="14"/>
      <c r="T38" s="14"/>
      <c r="U38" s="19"/>
      <c r="V38" s="19"/>
      <c r="W38" s="14"/>
      <c r="X38" s="11"/>
      <c r="Y38" s="11"/>
      <c r="Z38" s="11"/>
      <c r="AA38" s="11"/>
      <c r="AB38" s="11"/>
      <c r="AC38" s="11"/>
      <c r="AD38" s="11"/>
    </row>
    <row r="39" spans="3:30" x14ac:dyDescent="0.35">
      <c r="C39" s="11"/>
      <c r="D39" s="11"/>
      <c r="E39" s="11"/>
      <c r="F39" s="11"/>
      <c r="G39" s="14"/>
      <c r="H39" s="14"/>
      <c r="I39" s="14"/>
      <c r="J39" s="14"/>
      <c r="K39" s="14"/>
      <c r="L39" s="14"/>
      <c r="M39" s="14"/>
      <c r="N39" s="14"/>
      <c r="O39" s="14"/>
      <c r="P39" s="14"/>
      <c r="Q39" s="14"/>
      <c r="R39" s="14"/>
      <c r="S39" s="14"/>
      <c r="T39" s="14"/>
      <c r="U39" s="19"/>
      <c r="V39" s="19"/>
      <c r="W39" s="14"/>
      <c r="X39" s="11"/>
      <c r="Y39" s="11"/>
      <c r="Z39" s="11"/>
      <c r="AA39" s="11"/>
      <c r="AB39" s="11"/>
      <c r="AC39" s="11"/>
      <c r="AD39" s="11"/>
    </row>
    <row r="40" spans="3:30" x14ac:dyDescent="0.35">
      <c r="C40" s="11"/>
      <c r="D40" s="11"/>
      <c r="E40" s="11"/>
      <c r="F40" s="11"/>
      <c r="G40" s="14"/>
      <c r="H40" s="14"/>
      <c r="I40" s="14"/>
      <c r="J40" s="14"/>
      <c r="K40" s="14"/>
      <c r="L40" s="14"/>
      <c r="M40" s="14"/>
      <c r="N40" s="14"/>
      <c r="O40" s="14"/>
      <c r="P40" s="14"/>
      <c r="Q40" s="14"/>
      <c r="R40" s="14"/>
      <c r="S40" s="14"/>
      <c r="T40" s="14"/>
      <c r="U40" s="14"/>
      <c r="V40" s="14"/>
      <c r="W40" s="14"/>
      <c r="X40" s="11"/>
      <c r="Y40" s="11"/>
      <c r="Z40" s="11"/>
      <c r="AA40" s="11"/>
      <c r="AB40" s="11"/>
      <c r="AC40" s="11"/>
      <c r="AD40" s="11"/>
    </row>
    <row r="41" spans="3:30" x14ac:dyDescent="0.35">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3:30" x14ac:dyDescent="0.35">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3:30" x14ac:dyDescent="0.35">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3:30" x14ac:dyDescent="0.35">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3:30" x14ac:dyDescent="0.35">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3:30" x14ac:dyDescent="0.35">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3:30" s="17" customFormat="1" x14ac:dyDescent="0.35"/>
    <row r="48" spans="3:30" s="17" customFormat="1" x14ac:dyDescent="0.35"/>
    <row r="49" s="17" customFormat="1" x14ac:dyDescent="0.35"/>
    <row r="50" s="17" customFormat="1" x14ac:dyDescent="0.35"/>
    <row r="51" s="17" customFormat="1" x14ac:dyDescent="0.35"/>
    <row r="52" s="17" customFormat="1" x14ac:dyDescent="0.35"/>
    <row r="53" s="17" customFormat="1" x14ac:dyDescent="0.35"/>
    <row r="54" s="17" customFormat="1" x14ac:dyDescent="0.35"/>
    <row r="55" s="17" customFormat="1" x14ac:dyDescent="0.35"/>
  </sheetData>
  <mergeCells count="2">
    <mergeCell ref="U34:V34"/>
    <mergeCell ref="U27:V27"/>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Kadiri, Caleb (DPW)</cp:lastModifiedBy>
  <dcterms:created xsi:type="dcterms:W3CDTF">2025-12-06T05:57:15Z</dcterms:created>
  <dcterms:modified xsi:type="dcterms:W3CDTF">2026-07-14T15:32:59Z</dcterms:modified>
</cp:coreProperties>
</file>